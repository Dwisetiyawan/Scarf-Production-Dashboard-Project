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wi\BELAJAR EXCEL\Tondi Factory\"/>
    </mc:Choice>
  </mc:AlternateContent>
  <xr:revisionPtr revIDLastSave="0" documentId="13_ncr:1_{E7FB43A9-F5C6-4834-8C37-F550C7ED5420}" xr6:coauthVersionLast="47" xr6:coauthVersionMax="47" xr10:uidLastSave="{00000000-0000-0000-0000-000000000000}"/>
  <bookViews>
    <workbookView xWindow="-110" yWindow="-110" windowWidth="19420" windowHeight="10300" xr2:uid="{9709CC96-8BCD-447D-A5C8-E8188A5D328F}"/>
  </bookViews>
  <sheets>
    <sheet name="Dashboard" sheetId="4" r:id="rId1"/>
    <sheet name="Calculation" sheetId="5" r:id="rId2"/>
    <sheet name="MachinePerformance Accumulation" sheetId="6" r:id="rId3"/>
    <sheet name="Daily Performance Monitoring " sheetId="1" r:id="rId4"/>
    <sheet name=" Downtime Monitoring" sheetId="2" r:id="rId5"/>
    <sheet name="Refference" sheetId="3" r:id="rId6"/>
  </sheets>
  <definedNames>
    <definedName name="Machine">Dashboard!$J$5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5" l="1"/>
  <c r="F17" i="5"/>
  <c r="F18" i="5"/>
  <c r="F19" i="5"/>
  <c r="F20" i="5"/>
  <c r="F21" i="5"/>
  <c r="F22" i="5"/>
  <c r="F23" i="5"/>
  <c r="F15" i="5"/>
  <c r="E16" i="5"/>
  <c r="E17" i="5"/>
  <c r="E18" i="5"/>
  <c r="E19" i="5"/>
  <c r="E20" i="5"/>
  <c r="E21" i="5"/>
  <c r="E22" i="5"/>
  <c r="E23" i="5"/>
  <c r="E15" i="5"/>
  <c r="AA3" i="5"/>
  <c r="AA4" i="5"/>
  <c r="AA5" i="5"/>
  <c r="AA6" i="5"/>
  <c r="AA7" i="5"/>
  <c r="AA8" i="5"/>
  <c r="AA9" i="5"/>
  <c r="AA10" i="5"/>
  <c r="AA2" i="5"/>
  <c r="Z3" i="5"/>
  <c r="Z4" i="5"/>
  <c r="Z5" i="5"/>
  <c r="Z6" i="5"/>
  <c r="Z7" i="5"/>
  <c r="Z8" i="5"/>
  <c r="Z9" i="5"/>
  <c r="Z10" i="5"/>
  <c r="Z2" i="5"/>
  <c r="T3" i="5"/>
  <c r="T4" i="5"/>
  <c r="T5" i="5"/>
  <c r="T6" i="5"/>
  <c r="T7" i="5"/>
  <c r="T8" i="5"/>
  <c r="T9" i="5"/>
  <c r="T10" i="5"/>
  <c r="T2" i="5"/>
  <c r="S3" i="5"/>
  <c r="S4" i="5"/>
  <c r="S5" i="5"/>
  <c r="S6" i="5"/>
  <c r="S7" i="5"/>
  <c r="S8" i="5"/>
  <c r="S9" i="5"/>
  <c r="S10" i="5"/>
  <c r="S2" i="5"/>
  <c r="F3" i="5"/>
  <c r="F4" i="5"/>
  <c r="F5" i="5"/>
  <c r="F6" i="5"/>
  <c r="F7" i="5"/>
  <c r="F8" i="5"/>
  <c r="F9" i="5"/>
  <c r="F10" i="5"/>
  <c r="F2" i="5"/>
  <c r="E3" i="5"/>
  <c r="E4" i="5"/>
  <c r="E5" i="5"/>
  <c r="E6" i="5"/>
  <c r="E7" i="5"/>
  <c r="E8" i="5"/>
  <c r="E9" i="5"/>
  <c r="E10" i="5"/>
  <c r="E2" i="5"/>
  <c r="M3" i="5"/>
  <c r="M4" i="5"/>
  <c r="M5" i="5"/>
  <c r="M6" i="5"/>
  <c r="M7" i="5"/>
  <c r="M8" i="5"/>
  <c r="M9" i="5"/>
  <c r="M10" i="5"/>
  <c r="M2" i="5"/>
  <c r="L3" i="5"/>
  <c r="L4" i="5"/>
  <c r="L5" i="5"/>
  <c r="L6" i="5"/>
  <c r="L7" i="5"/>
  <c r="L8" i="5"/>
  <c r="L9" i="5"/>
  <c r="L10" i="5"/>
  <c r="L2" i="5"/>
  <c r="W3" i="5" a="1"/>
  <c r="W3" i="5" s="1"/>
  <c r="W4" i="5" a="1"/>
  <c r="W4" i="5" s="1"/>
  <c r="W5" i="5" a="1"/>
  <c r="W5" i="5"/>
  <c r="W6" i="5" a="1"/>
  <c r="W6" i="5" s="1"/>
  <c r="W7" i="5" a="1"/>
  <c r="W7" i="5" s="1"/>
  <c r="W8" i="5" a="1"/>
  <c r="W8" i="5"/>
  <c r="W9" i="5" a="1"/>
  <c r="W9" i="5" s="1"/>
  <c r="W10" i="5" a="1"/>
  <c r="W10" i="5" s="1"/>
  <c r="W2" i="5" a="1"/>
  <c r="W2" i="5" s="1"/>
  <c r="F3" i="6"/>
  <c r="F4" i="6"/>
  <c r="F5" i="6"/>
  <c r="F6" i="6"/>
  <c r="F7" i="6"/>
  <c r="F8" i="6"/>
  <c r="F9" i="6"/>
  <c r="F10" i="6"/>
  <c r="F2" i="6"/>
  <c r="BG12" i="1"/>
  <c r="BG11" i="1"/>
  <c r="BG10" i="1"/>
  <c r="BG9" i="1"/>
  <c r="BG8" i="1"/>
  <c r="BG7" i="1"/>
  <c r="BG6" i="1"/>
  <c r="BG5" i="1"/>
  <c r="BG4" i="1"/>
  <c r="D2" i="6" a="1"/>
  <c r="D2" i="6" s="1"/>
  <c r="AZ5" i="1" a="1"/>
  <c r="AZ5" i="1" s="1"/>
  <c r="BA5" i="1" s="1"/>
  <c r="AZ6" i="1" a="1"/>
  <c r="AZ6" i="1"/>
  <c r="BA6" i="1" s="1"/>
  <c r="AZ7" i="1" a="1"/>
  <c r="AZ7" i="1"/>
  <c r="BA7" i="1" s="1"/>
  <c r="AZ8" i="1" a="1"/>
  <c r="AZ8" i="1" s="1"/>
  <c r="BA8" i="1" s="1"/>
  <c r="AZ9" i="1" a="1"/>
  <c r="AZ9" i="1" s="1"/>
  <c r="BA9" i="1" s="1"/>
  <c r="AZ10" i="1" a="1"/>
  <c r="AZ10" i="1" s="1"/>
  <c r="BA10" i="1" s="1"/>
  <c r="AZ11" i="1" a="1"/>
  <c r="AZ11" i="1" s="1"/>
  <c r="BA11" i="1" s="1"/>
  <c r="AZ12" i="1" a="1"/>
  <c r="AZ12" i="1" s="1"/>
  <c r="BA12" i="1" s="1"/>
  <c r="AZ13" i="1" a="1"/>
  <c r="AZ13" i="1" s="1"/>
  <c r="BA13" i="1" s="1"/>
  <c r="AZ14" i="1" a="1"/>
  <c r="AZ14" i="1" s="1"/>
  <c r="BA14" i="1" s="1"/>
  <c r="AZ15" i="1" a="1"/>
  <c r="AZ15" i="1" s="1"/>
  <c r="BA15" i="1" s="1"/>
  <c r="AZ16" i="1" a="1"/>
  <c r="AZ16" i="1" s="1"/>
  <c r="BA16" i="1" s="1"/>
  <c r="AZ17" i="1" a="1"/>
  <c r="AZ17" i="1" s="1"/>
  <c r="BA17" i="1" s="1"/>
  <c r="AZ18" i="1" a="1"/>
  <c r="AZ18" i="1" s="1"/>
  <c r="BA18" i="1" s="1"/>
  <c r="AZ19" i="1" a="1"/>
  <c r="AZ19" i="1" s="1"/>
  <c r="BA19" i="1" s="1"/>
  <c r="AZ4" i="1" a="1"/>
  <c r="AZ4" i="1" s="1"/>
  <c r="AZ20" i="1" s="1"/>
  <c r="AT5" i="1" a="1"/>
  <c r="AT5" i="1" s="1"/>
  <c r="AU5" i="1" s="1"/>
  <c r="AT6" i="1" a="1"/>
  <c r="AT6" i="1" s="1"/>
  <c r="AU6" i="1" s="1"/>
  <c r="AT7" i="1" a="1"/>
  <c r="AT7" i="1" s="1"/>
  <c r="AU7" i="1" s="1"/>
  <c r="AT8" i="1" a="1"/>
  <c r="AT8" i="1" s="1"/>
  <c r="AU8" i="1" s="1"/>
  <c r="AT9" i="1" a="1"/>
  <c r="AT9" i="1" s="1"/>
  <c r="AU9" i="1" s="1"/>
  <c r="AT10" i="1" a="1"/>
  <c r="AT10" i="1" s="1"/>
  <c r="AU10" i="1" s="1"/>
  <c r="AT11" i="1" a="1"/>
  <c r="AT11" i="1" s="1"/>
  <c r="AU11" i="1" s="1"/>
  <c r="AT12" i="1" a="1"/>
  <c r="AT12" i="1" s="1"/>
  <c r="AU12" i="1" s="1"/>
  <c r="AT13" i="1" a="1"/>
  <c r="AT13" i="1" s="1"/>
  <c r="AU13" i="1" s="1"/>
  <c r="AT14" i="1" a="1"/>
  <c r="AT14" i="1" s="1"/>
  <c r="AU14" i="1" s="1"/>
  <c r="AT15" i="1" a="1"/>
  <c r="AT15" i="1" s="1"/>
  <c r="AU15" i="1" s="1"/>
  <c r="AT16" i="1" a="1"/>
  <c r="AT16" i="1" s="1"/>
  <c r="AU16" i="1" s="1"/>
  <c r="AT17" i="1" a="1"/>
  <c r="AT17" i="1" s="1"/>
  <c r="AU17" i="1" s="1"/>
  <c r="AT18" i="1" a="1"/>
  <c r="AT18" i="1" s="1"/>
  <c r="AU18" i="1" s="1"/>
  <c r="AT19" i="1" a="1"/>
  <c r="AT19" i="1" s="1"/>
  <c r="AU19" i="1" s="1"/>
  <c r="AT4" i="1" a="1"/>
  <c r="AT4" i="1" s="1"/>
  <c r="AT20" i="1" s="1"/>
  <c r="AN5" i="1" a="1"/>
  <c r="AN5" i="1" s="1"/>
  <c r="AO5" i="1" s="1"/>
  <c r="AN6" i="1" a="1"/>
  <c r="AN6" i="1" s="1"/>
  <c r="AO6" i="1" s="1"/>
  <c r="AN7" i="1" a="1"/>
  <c r="AN7" i="1" s="1"/>
  <c r="AO7" i="1" s="1"/>
  <c r="AN8" i="1" a="1"/>
  <c r="AN8" i="1"/>
  <c r="AO8" i="1" s="1"/>
  <c r="AN9" i="1" a="1"/>
  <c r="AN9" i="1" s="1"/>
  <c r="AO9" i="1" s="1"/>
  <c r="AN10" i="1" a="1"/>
  <c r="AN10" i="1" s="1"/>
  <c r="AO10" i="1" s="1"/>
  <c r="AN11" i="1" a="1"/>
  <c r="AN11" i="1" s="1"/>
  <c r="AO11" i="1" s="1"/>
  <c r="AN12" i="1" a="1"/>
  <c r="AN12" i="1" s="1"/>
  <c r="AO12" i="1" s="1"/>
  <c r="AN13" i="1" a="1"/>
  <c r="AN13" i="1" s="1"/>
  <c r="AO13" i="1" s="1"/>
  <c r="AN14" i="1" a="1"/>
  <c r="AN14" i="1"/>
  <c r="AO14" i="1" s="1"/>
  <c r="AN15" i="1" a="1"/>
  <c r="AN15" i="1" s="1"/>
  <c r="AO15" i="1" s="1"/>
  <c r="AN16" i="1" a="1"/>
  <c r="AN16" i="1"/>
  <c r="AO16" i="1" s="1"/>
  <c r="AN17" i="1" a="1"/>
  <c r="AN17" i="1" s="1"/>
  <c r="AO17" i="1" s="1"/>
  <c r="AN18" i="1" a="1"/>
  <c r="AN18" i="1" s="1"/>
  <c r="AO18" i="1" s="1"/>
  <c r="AN19" i="1" a="1"/>
  <c r="AN19" i="1" s="1"/>
  <c r="AO19" i="1" s="1"/>
  <c r="AN4" i="1" a="1"/>
  <c r="AN4" i="1" s="1"/>
  <c r="AO4" i="1" s="1"/>
  <c r="AO20" i="1" s="1"/>
  <c r="BF10" i="1" s="1"/>
  <c r="E8" i="6" s="1"/>
  <c r="AH5" i="1" a="1"/>
  <c r="AH5" i="1" s="1"/>
  <c r="AI5" i="1" s="1"/>
  <c r="AH6" i="1" a="1"/>
  <c r="AH6" i="1" s="1"/>
  <c r="AI6" i="1" s="1"/>
  <c r="AH7" i="1" a="1"/>
  <c r="AH7" i="1" s="1"/>
  <c r="AI7" i="1" s="1"/>
  <c r="AH8" i="1" a="1"/>
  <c r="AH8" i="1" s="1"/>
  <c r="AI8" i="1" s="1"/>
  <c r="AH9" i="1" a="1"/>
  <c r="AH9" i="1" s="1"/>
  <c r="AI9" i="1" s="1"/>
  <c r="AH10" i="1" a="1"/>
  <c r="AH10" i="1" s="1"/>
  <c r="AI10" i="1" s="1"/>
  <c r="AH11" i="1" a="1"/>
  <c r="AH11" i="1" s="1"/>
  <c r="AI11" i="1" s="1"/>
  <c r="AH12" i="1" a="1"/>
  <c r="AH12" i="1" s="1"/>
  <c r="AI12" i="1" s="1"/>
  <c r="AH13" i="1" a="1"/>
  <c r="AH13" i="1"/>
  <c r="AI13" i="1" s="1"/>
  <c r="AH14" i="1" a="1"/>
  <c r="AH14" i="1" s="1"/>
  <c r="AI14" i="1" s="1"/>
  <c r="AH15" i="1" a="1"/>
  <c r="AH15" i="1" s="1"/>
  <c r="AI15" i="1" s="1"/>
  <c r="AH16" i="1" a="1"/>
  <c r="AH16" i="1" s="1"/>
  <c r="AI16" i="1" s="1"/>
  <c r="AH17" i="1" a="1"/>
  <c r="AH17" i="1" s="1"/>
  <c r="AI17" i="1" s="1"/>
  <c r="AH18" i="1" a="1"/>
  <c r="AH18" i="1" s="1"/>
  <c r="AI18" i="1" s="1"/>
  <c r="AH19" i="1" a="1"/>
  <c r="AH19" i="1" s="1"/>
  <c r="AI19" i="1" s="1"/>
  <c r="AH4" i="1" a="1"/>
  <c r="AH4" i="1" s="1"/>
  <c r="AB5" i="1" a="1"/>
  <c r="AB5" i="1" s="1"/>
  <c r="AC5" i="1" s="1"/>
  <c r="AB6" i="1" a="1"/>
  <c r="AB6" i="1" s="1"/>
  <c r="AC6" i="1" s="1"/>
  <c r="AB7" i="1" a="1"/>
  <c r="AB7" i="1" s="1"/>
  <c r="AC7" i="1" s="1"/>
  <c r="AB8" i="1" a="1"/>
  <c r="AB8" i="1" s="1"/>
  <c r="AC8" i="1" s="1"/>
  <c r="AB9" i="1" a="1"/>
  <c r="AB9" i="1" s="1"/>
  <c r="AC9" i="1" s="1"/>
  <c r="AB10" i="1" a="1"/>
  <c r="AB10" i="1" s="1"/>
  <c r="AC10" i="1" s="1"/>
  <c r="AB11" i="1" a="1"/>
  <c r="AB11" i="1" s="1"/>
  <c r="AC11" i="1" s="1"/>
  <c r="AB12" i="1" a="1"/>
  <c r="AB12" i="1" s="1"/>
  <c r="AC12" i="1" s="1"/>
  <c r="AB13" i="1" a="1"/>
  <c r="AB13" i="1" s="1"/>
  <c r="AC13" i="1" s="1"/>
  <c r="AB14" i="1" a="1"/>
  <c r="AB14" i="1" s="1"/>
  <c r="AC14" i="1" s="1"/>
  <c r="AB15" i="1" a="1"/>
  <c r="AB15" i="1" s="1"/>
  <c r="AC15" i="1" s="1"/>
  <c r="AB16" i="1" a="1"/>
  <c r="AB16" i="1" s="1"/>
  <c r="AC16" i="1" s="1"/>
  <c r="AB17" i="1" a="1"/>
  <c r="AB17" i="1" s="1"/>
  <c r="AC17" i="1" s="1"/>
  <c r="AB18" i="1" a="1"/>
  <c r="AB18" i="1" s="1"/>
  <c r="AC18" i="1" s="1"/>
  <c r="AB19" i="1" a="1"/>
  <c r="AB19" i="1" s="1"/>
  <c r="AC19" i="1" s="1"/>
  <c r="AB4" i="1" a="1"/>
  <c r="AB4" i="1" s="1"/>
  <c r="AB20" i="1" s="1"/>
  <c r="V5" i="1" a="1"/>
  <c r="V5" i="1" s="1"/>
  <c r="W5" i="1" s="1"/>
  <c r="V6" i="1" a="1"/>
  <c r="V6" i="1" s="1"/>
  <c r="W6" i="1" s="1"/>
  <c r="V7" i="1" a="1"/>
  <c r="V7" i="1" s="1"/>
  <c r="W7" i="1" s="1"/>
  <c r="V8" i="1" a="1"/>
  <c r="V8" i="1" s="1"/>
  <c r="W8" i="1" s="1"/>
  <c r="V9" i="1" a="1"/>
  <c r="V9" i="1" s="1"/>
  <c r="W9" i="1" s="1"/>
  <c r="V10" i="1" a="1"/>
  <c r="V10" i="1" s="1"/>
  <c r="W10" i="1" s="1"/>
  <c r="V11" i="1" a="1"/>
  <c r="V11" i="1" s="1"/>
  <c r="W11" i="1" s="1"/>
  <c r="V12" i="1" a="1"/>
  <c r="V12" i="1" s="1"/>
  <c r="W12" i="1" s="1"/>
  <c r="V13" i="1" a="1"/>
  <c r="V13" i="1" s="1"/>
  <c r="W13" i="1" s="1"/>
  <c r="V14" i="1" a="1"/>
  <c r="V14" i="1" s="1"/>
  <c r="W14" i="1" s="1"/>
  <c r="V15" i="1" a="1"/>
  <c r="V15" i="1"/>
  <c r="W15" i="1" s="1"/>
  <c r="V16" i="1" a="1"/>
  <c r="V16" i="1" s="1"/>
  <c r="W16" i="1" s="1"/>
  <c r="V17" i="1" a="1"/>
  <c r="V17" i="1" s="1"/>
  <c r="W17" i="1" s="1"/>
  <c r="V18" i="1" a="1"/>
  <c r="V18" i="1" s="1"/>
  <c r="W18" i="1" s="1"/>
  <c r="V19" i="1" a="1"/>
  <c r="V19" i="1" s="1"/>
  <c r="W19" i="1" s="1"/>
  <c r="V4" i="1" a="1"/>
  <c r="V4" i="1" s="1"/>
  <c r="P5" i="1" a="1"/>
  <c r="P5" i="1" s="1"/>
  <c r="Q5" i="1" s="1"/>
  <c r="P6" i="1" a="1"/>
  <c r="P6" i="1"/>
  <c r="Q6" i="1" s="1"/>
  <c r="P7" i="1" a="1"/>
  <c r="P7" i="1" s="1"/>
  <c r="Q7" i="1" s="1"/>
  <c r="P8" i="1" a="1"/>
  <c r="P8" i="1" s="1"/>
  <c r="Q8" i="1" s="1"/>
  <c r="P9" i="1" a="1"/>
  <c r="P9" i="1" s="1"/>
  <c r="Q9" i="1" s="1"/>
  <c r="P10" i="1" a="1"/>
  <c r="P10" i="1"/>
  <c r="Q10" i="1" s="1"/>
  <c r="P11" i="1" a="1"/>
  <c r="P11" i="1" s="1"/>
  <c r="Q11" i="1" s="1"/>
  <c r="P12" i="1" a="1"/>
  <c r="P12" i="1" s="1"/>
  <c r="Q12" i="1" s="1"/>
  <c r="P13" i="1" a="1"/>
  <c r="P13" i="1" s="1"/>
  <c r="Q13" i="1" s="1"/>
  <c r="P14" i="1" a="1"/>
  <c r="P14" i="1" s="1"/>
  <c r="Q14" i="1" s="1"/>
  <c r="P15" i="1" a="1"/>
  <c r="P15" i="1" s="1"/>
  <c r="Q15" i="1" s="1"/>
  <c r="P16" i="1" a="1"/>
  <c r="P16" i="1" s="1"/>
  <c r="Q16" i="1" s="1"/>
  <c r="P17" i="1" a="1"/>
  <c r="P17" i="1" s="1"/>
  <c r="Q17" i="1" s="1"/>
  <c r="P18" i="1" a="1"/>
  <c r="P18" i="1" s="1"/>
  <c r="Q18" i="1" s="1"/>
  <c r="P19" i="1" a="1"/>
  <c r="P19" i="1" s="1"/>
  <c r="Q19" i="1" s="1"/>
  <c r="P4" i="1" a="1"/>
  <c r="P4" i="1"/>
  <c r="P20" i="1" s="1"/>
  <c r="J5" i="1" a="1"/>
  <c r="J5" i="1" s="1"/>
  <c r="K5" i="1" s="1"/>
  <c r="J6" i="1" a="1"/>
  <c r="J6" i="1" s="1"/>
  <c r="K6" i="1" s="1"/>
  <c r="J7" i="1" a="1"/>
  <c r="J7" i="1" s="1"/>
  <c r="K7" i="1" s="1"/>
  <c r="J8" i="1" a="1"/>
  <c r="J8" i="1" s="1"/>
  <c r="K8" i="1" s="1"/>
  <c r="J9" i="1" a="1"/>
  <c r="J9" i="1" s="1"/>
  <c r="K9" i="1" s="1"/>
  <c r="J10" i="1" a="1"/>
  <c r="J10" i="1" s="1"/>
  <c r="K10" i="1" s="1"/>
  <c r="J11" i="1" a="1"/>
  <c r="J11" i="1" s="1"/>
  <c r="K11" i="1" s="1"/>
  <c r="J12" i="1" a="1"/>
  <c r="J12" i="1"/>
  <c r="K12" i="1" s="1"/>
  <c r="J13" i="1" a="1"/>
  <c r="J13" i="1" s="1"/>
  <c r="K13" i="1" s="1"/>
  <c r="J14" i="1" a="1"/>
  <c r="J14" i="1" s="1"/>
  <c r="K14" i="1" s="1"/>
  <c r="J15" i="1" a="1"/>
  <c r="J15" i="1" s="1"/>
  <c r="K15" i="1" s="1"/>
  <c r="J16" i="1" a="1"/>
  <c r="J16" i="1" s="1"/>
  <c r="K16" i="1" s="1"/>
  <c r="J17" i="1" a="1"/>
  <c r="J17" i="1" s="1"/>
  <c r="K17" i="1" s="1"/>
  <c r="J18" i="1" a="1"/>
  <c r="J18" i="1" s="1"/>
  <c r="K18" i="1" s="1"/>
  <c r="J19" i="1" a="1"/>
  <c r="J19" i="1" s="1"/>
  <c r="K19" i="1" s="1"/>
  <c r="J4" i="1" a="1"/>
  <c r="J4" i="1" s="1"/>
  <c r="J20" i="1" s="1"/>
  <c r="D5" i="1" a="1"/>
  <c r="D5" i="1" s="1"/>
  <c r="D6" i="1" a="1"/>
  <c r="D6" i="1" s="1"/>
  <c r="D7" i="1" a="1"/>
  <c r="D7" i="1" s="1"/>
  <c r="D8" i="1" a="1"/>
  <c r="D8" i="1"/>
  <c r="D9" i="1" a="1"/>
  <c r="D9" i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/>
  <c r="D16" i="1" a="1"/>
  <c r="D16" i="1"/>
  <c r="D17" i="1" a="1"/>
  <c r="D17" i="1" s="1"/>
  <c r="D18" i="1" a="1"/>
  <c r="D18" i="1" s="1"/>
  <c r="D19" i="1" a="1"/>
  <c r="D19" i="1" s="1"/>
  <c r="E19" i="1" s="1"/>
  <c r="D4" i="1" a="1"/>
  <c r="D4" i="1" s="1"/>
  <c r="D20" i="1" s="1"/>
  <c r="D9" i="6" a="1"/>
  <c r="D9" i="6" s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4" i="2"/>
  <c r="N8" i="2"/>
  <c r="F8" i="2" s="1"/>
  <c r="G8" i="2" s="1"/>
  <c r="N9" i="2"/>
  <c r="F9" i="2" s="1"/>
  <c r="G9" i="2" s="1"/>
  <c r="N10" i="2"/>
  <c r="F10" i="2" s="1"/>
  <c r="G10" i="2" s="1"/>
  <c r="N11" i="2"/>
  <c r="F11" i="2" s="1"/>
  <c r="G11" i="2" s="1"/>
  <c r="N12" i="2"/>
  <c r="F12" i="2" s="1"/>
  <c r="G12" i="2" s="1"/>
  <c r="N13" i="2"/>
  <c r="F13" i="2" s="1"/>
  <c r="G13" i="2" s="1"/>
  <c r="N14" i="2"/>
  <c r="F14" i="2" s="1"/>
  <c r="G14" i="2" s="1"/>
  <c r="N15" i="2"/>
  <c r="F15" i="2" s="1"/>
  <c r="G15" i="2" s="1"/>
  <c r="N16" i="2"/>
  <c r="F16" i="2" s="1"/>
  <c r="G16" i="2" s="1"/>
  <c r="N20" i="2"/>
  <c r="F20" i="2" s="1"/>
  <c r="G20" i="2" s="1"/>
  <c r="N21" i="2"/>
  <c r="F21" i="2" s="1"/>
  <c r="G21" i="2" s="1"/>
  <c r="N22" i="2"/>
  <c r="F22" i="2" s="1"/>
  <c r="G22" i="2" s="1"/>
  <c r="N23" i="2"/>
  <c r="F23" i="2" s="1"/>
  <c r="G23" i="2" s="1"/>
  <c r="N24" i="2"/>
  <c r="F24" i="2" s="1"/>
  <c r="G24" i="2" s="1"/>
  <c r="N25" i="2"/>
  <c r="F25" i="2" s="1"/>
  <c r="G25" i="2" s="1"/>
  <c r="N26" i="2"/>
  <c r="F26" i="2" s="1"/>
  <c r="G26" i="2" s="1"/>
  <c r="N27" i="2"/>
  <c r="F27" i="2" s="1"/>
  <c r="G27" i="2" s="1"/>
  <c r="N28" i="2"/>
  <c r="F28" i="2" s="1"/>
  <c r="G28" i="2" s="1"/>
  <c r="N32" i="2"/>
  <c r="F32" i="2" s="1"/>
  <c r="G32" i="2" s="1"/>
  <c r="N33" i="2"/>
  <c r="F33" i="2" s="1"/>
  <c r="G33" i="2" s="1"/>
  <c r="N34" i="2"/>
  <c r="F34" i="2" s="1"/>
  <c r="G34" i="2" s="1"/>
  <c r="N35" i="2"/>
  <c r="F35" i="2" s="1"/>
  <c r="G35" i="2" s="1"/>
  <c r="N36" i="2"/>
  <c r="F36" i="2" s="1"/>
  <c r="G36" i="2" s="1"/>
  <c r="N37" i="2"/>
  <c r="F37" i="2" s="1"/>
  <c r="G37" i="2" s="1"/>
  <c r="N38" i="2"/>
  <c r="F38" i="2" s="1"/>
  <c r="G38" i="2" s="1"/>
  <c r="N4" i="2"/>
  <c r="N7" i="2"/>
  <c r="F7" i="2" s="1"/>
  <c r="G7" i="2" s="1"/>
  <c r="N17" i="2"/>
  <c r="F17" i="2" s="1"/>
  <c r="G17" i="2" s="1"/>
  <c r="N19" i="2"/>
  <c r="F19" i="2" s="1"/>
  <c r="G19" i="2" s="1"/>
  <c r="N31" i="2"/>
  <c r="F31" i="2" s="1"/>
  <c r="G31" i="2" s="1"/>
  <c r="N5" i="2"/>
  <c r="F5" i="2" s="1"/>
  <c r="G5" i="2" s="1"/>
  <c r="N6" i="2"/>
  <c r="F6" i="2" s="1"/>
  <c r="G6" i="2" s="1"/>
  <c r="N18" i="2"/>
  <c r="F18" i="2" s="1"/>
  <c r="G18" i="2" s="1"/>
  <c r="N29" i="2"/>
  <c r="F29" i="2" s="1"/>
  <c r="G29" i="2" s="1"/>
  <c r="N30" i="2"/>
  <c r="F30" i="2" s="1"/>
  <c r="G30" i="2" s="1"/>
  <c r="R8" i="2" a="1"/>
  <c r="R8" i="2" s="1"/>
  <c r="R9" i="2" a="1"/>
  <c r="R9" i="2" s="1"/>
  <c r="R10" i="2" a="1"/>
  <c r="R10" i="2" s="1"/>
  <c r="R12" i="2" a="1"/>
  <c r="R12" i="2" s="1"/>
  <c r="R14" i="2" a="1"/>
  <c r="R14" i="2" s="1"/>
  <c r="R16" i="2" a="1"/>
  <c r="R16" i="2" s="1"/>
  <c r="R21" i="2" a="1"/>
  <c r="R21" i="2" s="1"/>
  <c r="R22" i="2" a="1"/>
  <c r="R22" i="2" s="1"/>
  <c r="R24" i="2" a="1"/>
  <c r="R24" i="2" s="1"/>
  <c r="R26" i="2" a="1"/>
  <c r="R26" i="2" s="1"/>
  <c r="R28" i="2" a="1"/>
  <c r="R28" i="2" s="1"/>
  <c r="R33" i="2" a="1"/>
  <c r="R33" i="2" s="1"/>
  <c r="R34" i="2" a="1"/>
  <c r="R34" i="2" s="1"/>
  <c r="R36" i="2" a="1"/>
  <c r="R36" i="2" s="1"/>
  <c r="R38" i="2" a="1"/>
  <c r="R38" i="2" s="1"/>
  <c r="R5" i="2" a="1"/>
  <c r="R5" i="2" s="1"/>
  <c r="R6" i="2" a="1"/>
  <c r="R6" i="2" s="1"/>
  <c r="R7" i="2" a="1"/>
  <c r="R7" i="2" s="1"/>
  <c r="R11" i="2" a="1"/>
  <c r="R11" i="2" s="1"/>
  <c r="R13" i="2" a="1"/>
  <c r="R13" i="2" s="1"/>
  <c r="R15" i="2" a="1"/>
  <c r="R15" i="2" s="1"/>
  <c r="R17" i="2" a="1"/>
  <c r="R17" i="2" s="1"/>
  <c r="R18" i="2" a="1"/>
  <c r="R18" i="2" s="1"/>
  <c r="R19" i="2" a="1"/>
  <c r="R19" i="2" s="1"/>
  <c r="R20" i="2" a="1"/>
  <c r="R20" i="2" s="1"/>
  <c r="R23" i="2" a="1"/>
  <c r="R23" i="2" s="1"/>
  <c r="R25" i="2" a="1"/>
  <c r="R25" i="2" s="1"/>
  <c r="R27" i="2" a="1"/>
  <c r="R27" i="2" s="1"/>
  <c r="R29" i="2" a="1"/>
  <c r="R29" i="2" s="1"/>
  <c r="R30" i="2" a="1"/>
  <c r="R30" i="2" s="1"/>
  <c r="R31" i="2" a="1"/>
  <c r="R31" i="2" s="1"/>
  <c r="R32" i="2" a="1"/>
  <c r="R32" i="2" s="1"/>
  <c r="R35" i="2" a="1"/>
  <c r="R35" i="2" s="1"/>
  <c r="R37" i="2" a="1"/>
  <c r="R37" i="2" s="1"/>
  <c r="R4" i="2" a="1"/>
  <c r="R4" i="2" s="1"/>
  <c r="G2" i="2"/>
  <c r="G4" i="2"/>
  <c r="G3" i="2"/>
  <c r="D10" i="6" s="1" a="1"/>
  <c r="D10" i="6" s="1"/>
  <c r="X2" i="5" l="1" a="1"/>
  <c r="AH20" i="1"/>
  <c r="AN20" i="1"/>
  <c r="V20" i="1"/>
  <c r="BB20" i="1"/>
  <c r="AV20" i="1"/>
  <c r="AP20" i="1"/>
  <c r="AJ20" i="1"/>
  <c r="AD20" i="1"/>
  <c r="X20" i="1"/>
  <c r="R20" i="1"/>
  <c r="L20" i="1"/>
  <c r="BC12" i="1"/>
  <c r="AW17" i="1"/>
  <c r="M9" i="1"/>
  <c r="AK18" i="1"/>
  <c r="AK7" i="1"/>
  <c r="AQ14" i="1"/>
  <c r="Y11" i="1"/>
  <c r="AW9" i="1"/>
  <c r="BC16" i="1"/>
  <c r="BC17" i="1"/>
  <c r="AQ9" i="1"/>
  <c r="AW5" i="1"/>
  <c r="M14" i="1"/>
  <c r="AK13" i="1"/>
  <c r="AW16" i="1"/>
  <c r="AW15" i="1"/>
  <c r="AE6" i="1"/>
  <c r="BC11" i="1"/>
  <c r="BC18" i="1"/>
  <c r="AW10" i="1"/>
  <c r="BC6" i="1"/>
  <c r="Y17" i="1"/>
  <c r="AW18" i="1"/>
  <c r="AW6" i="1"/>
  <c r="BC13" i="1"/>
  <c r="BC10" i="1"/>
  <c r="BC19" i="1"/>
  <c r="BC9" i="1"/>
  <c r="BC8" i="1"/>
  <c r="BC7" i="1"/>
  <c r="BC15" i="1"/>
  <c r="AK19" i="1"/>
  <c r="AQ15" i="1"/>
  <c r="AQ5" i="1"/>
  <c r="BC14" i="1"/>
  <c r="BC5" i="1"/>
  <c r="AW19" i="1"/>
  <c r="AW7" i="1"/>
  <c r="S5" i="1"/>
  <c r="AW8" i="1"/>
  <c r="AW14" i="1"/>
  <c r="AE18" i="1"/>
  <c r="AQ18" i="1"/>
  <c r="AW13" i="1"/>
  <c r="AQ17" i="1"/>
  <c r="AW12" i="1"/>
  <c r="AQ16" i="1"/>
  <c r="AW11" i="1"/>
  <c r="AQ7" i="1"/>
  <c r="AQ19" i="1"/>
  <c r="AK15" i="1"/>
  <c r="AK5" i="1"/>
  <c r="AQ11" i="1"/>
  <c r="AQ6" i="1"/>
  <c r="S11" i="1"/>
  <c r="AK16" i="1"/>
  <c r="AQ13" i="1"/>
  <c r="S10" i="1"/>
  <c r="Y6" i="1"/>
  <c r="AK6" i="1"/>
  <c r="AQ12" i="1"/>
  <c r="AQ8" i="1"/>
  <c r="AK14" i="1"/>
  <c r="AQ10" i="1"/>
  <c r="AK17" i="1"/>
  <c r="AK10" i="1"/>
  <c r="AE14" i="1"/>
  <c r="AK9" i="1"/>
  <c r="Y19" i="1"/>
  <c r="AE13" i="1"/>
  <c r="AK8" i="1"/>
  <c r="AK12" i="1"/>
  <c r="AK11" i="1"/>
  <c r="AE15" i="1"/>
  <c r="Y18" i="1"/>
  <c r="AE12" i="1"/>
  <c r="S16" i="1"/>
  <c r="AE16" i="1"/>
  <c r="AE5" i="1"/>
  <c r="AE11" i="1"/>
  <c r="AE10" i="1"/>
  <c r="AE9" i="1"/>
  <c r="Y14" i="1"/>
  <c r="AE19" i="1"/>
  <c r="AE8" i="1"/>
  <c r="S18" i="1"/>
  <c r="Y13" i="1"/>
  <c r="AE7" i="1"/>
  <c r="S17" i="1"/>
  <c r="S6" i="1"/>
  <c r="Y12" i="1"/>
  <c r="AE17" i="1"/>
  <c r="Y9" i="1"/>
  <c r="Y8" i="1"/>
  <c r="M16" i="1"/>
  <c r="Y7" i="1"/>
  <c r="M15" i="1"/>
  <c r="M5" i="1"/>
  <c r="Y16" i="1"/>
  <c r="Y15" i="1"/>
  <c r="Y5" i="1"/>
  <c r="Y10" i="1"/>
  <c r="M17" i="1"/>
  <c r="M6" i="1"/>
  <c r="S12" i="1"/>
  <c r="S9" i="1"/>
  <c r="S8" i="1"/>
  <c r="S7" i="1"/>
  <c r="S15" i="1"/>
  <c r="S14" i="1"/>
  <c r="S19" i="1"/>
  <c r="M18" i="1"/>
  <c r="S13" i="1"/>
  <c r="M19" i="1"/>
  <c r="M7" i="1"/>
  <c r="M8" i="1"/>
  <c r="M13" i="1"/>
  <c r="M12" i="1"/>
  <c r="M11" i="1"/>
  <c r="M10" i="1"/>
  <c r="F20" i="1"/>
  <c r="G19" i="1"/>
  <c r="E5" i="1"/>
  <c r="G5" i="1" s="1"/>
  <c r="E11" i="1"/>
  <c r="G11" i="1" s="1"/>
  <c r="E12" i="1"/>
  <c r="G12" i="1" s="1"/>
  <c r="E10" i="1"/>
  <c r="G10" i="1" s="1"/>
  <c r="D8" i="6" a="1"/>
  <c r="D8" i="6" s="1"/>
  <c r="E9" i="1"/>
  <c r="G9" i="1" s="1"/>
  <c r="E17" i="1"/>
  <c r="G17" i="1" s="1"/>
  <c r="E8" i="1"/>
  <c r="G8" i="1" s="1"/>
  <c r="D7" i="6" a="1"/>
  <c r="D7" i="6" s="1"/>
  <c r="E16" i="1"/>
  <c r="G16" i="1" s="1"/>
  <c r="D6" i="6" a="1"/>
  <c r="D6" i="6" s="1"/>
  <c r="E15" i="1"/>
  <c r="G15" i="1" s="1"/>
  <c r="E7" i="1"/>
  <c r="G7" i="1" s="1"/>
  <c r="E18" i="1"/>
  <c r="G18" i="1" s="1"/>
  <c r="D5" i="6" a="1"/>
  <c r="D5" i="6" s="1"/>
  <c r="E14" i="1"/>
  <c r="G14" i="1" s="1"/>
  <c r="D4" i="6" a="1"/>
  <c r="D4" i="6" s="1"/>
  <c r="E6" i="1"/>
  <c r="G6" i="1" s="1"/>
  <c r="D3" i="6" a="1"/>
  <c r="D3" i="6" s="1"/>
  <c r="E13" i="1"/>
  <c r="G13" i="1" s="1"/>
  <c r="I18" i="5" a="1"/>
  <c r="I18" i="5" s="1"/>
  <c r="B19" i="5" a="1"/>
  <c r="B19" i="5" s="1"/>
  <c r="I21" i="5" a="1"/>
  <c r="I21" i="5" s="1"/>
  <c r="I22" i="5" a="1"/>
  <c r="I22" i="5" s="1"/>
  <c r="I23" i="5" a="1"/>
  <c r="I23" i="5" s="1"/>
  <c r="I20" i="5" a="1"/>
  <c r="I20" i="5" s="1"/>
  <c r="I16" i="5" a="1"/>
  <c r="I16" i="5" s="1"/>
  <c r="I17" i="5" a="1"/>
  <c r="I17" i="5" s="1"/>
  <c r="B22" i="5" a="1"/>
  <c r="B22" i="5" s="1"/>
  <c r="I19" i="5" a="1"/>
  <c r="I19" i="5" s="1"/>
  <c r="B23" i="5" a="1"/>
  <c r="B23" i="5" s="1"/>
  <c r="I15" i="5" a="1"/>
  <c r="I15" i="5" s="1"/>
  <c r="B21" i="5" a="1"/>
  <c r="B21" i="5" s="1"/>
  <c r="B20" i="5" a="1"/>
  <c r="B20" i="5" s="1"/>
  <c r="B18" i="5" a="1"/>
  <c r="B18" i="5" s="1"/>
  <c r="B17" i="5" a="1"/>
  <c r="B17" i="5" s="1"/>
  <c r="B15" i="5" a="1"/>
  <c r="B15" i="5" s="1"/>
  <c r="B16" i="5" a="1"/>
  <c r="B16" i="5" s="1"/>
  <c r="BA4" i="1"/>
  <c r="AU4" i="1"/>
  <c r="AQ4" i="1"/>
  <c r="AC4" i="1"/>
  <c r="AI4" i="1"/>
  <c r="W4" i="1"/>
  <c r="Q4" i="1"/>
  <c r="X2" i="5" l="1"/>
  <c r="BH5" i="1"/>
  <c r="G3" i="6" s="1"/>
  <c r="BH7" i="1"/>
  <c r="G5" i="6" s="1"/>
  <c r="BH8" i="1"/>
  <c r="G6" i="6" s="1"/>
  <c r="BH9" i="1"/>
  <c r="G7" i="6" s="1"/>
  <c r="AW4" i="1"/>
  <c r="AU20" i="1"/>
  <c r="BF11" i="1" s="1"/>
  <c r="E9" i="6" s="1"/>
  <c r="AW20" i="1"/>
  <c r="BI11" i="1" s="1"/>
  <c r="BH11" i="1"/>
  <c r="G9" i="6" s="1"/>
  <c r="H9" i="6" s="1"/>
  <c r="BH12" i="1"/>
  <c r="G10" i="6" s="1"/>
  <c r="S4" i="1"/>
  <c r="Q20" i="1"/>
  <c r="BF6" i="1" s="1"/>
  <c r="E4" i="6" s="1"/>
  <c r="S20" i="1"/>
  <c r="BI6" i="1" s="1"/>
  <c r="BH6" i="1"/>
  <c r="G4" i="6" s="1"/>
  <c r="H4" i="6" s="1"/>
  <c r="Y4" i="1"/>
  <c r="W20" i="1"/>
  <c r="BF7" i="1" s="1"/>
  <c r="E5" i="6" s="1"/>
  <c r="AK4" i="1"/>
  <c r="AI20" i="1"/>
  <c r="BF9" i="1" s="1"/>
  <c r="E7" i="6" s="1"/>
  <c r="H7" i="6" s="1"/>
  <c r="AE4" i="1"/>
  <c r="AC20" i="1"/>
  <c r="BF8" i="1" s="1"/>
  <c r="E6" i="6" s="1"/>
  <c r="H6" i="6" s="1"/>
  <c r="AQ20" i="1"/>
  <c r="BI10" i="1" s="1"/>
  <c r="BH10" i="1"/>
  <c r="G8" i="6" s="1"/>
  <c r="H8" i="6" s="1"/>
  <c r="BC4" i="1"/>
  <c r="BA20" i="1"/>
  <c r="BF12" i="1" s="1"/>
  <c r="E10" i="6" s="1"/>
  <c r="BH4" i="1"/>
  <c r="G2" i="6" s="1"/>
  <c r="C15" i="5" a="1"/>
  <c r="C15" i="5" s="1"/>
  <c r="I3" i="5" a="1"/>
  <c r="I3" i="5" s="1"/>
  <c r="I6" i="5" a="1"/>
  <c r="I6" i="5" s="1"/>
  <c r="I4" i="5" a="1"/>
  <c r="I4" i="5" s="1"/>
  <c r="I5" i="5" a="1"/>
  <c r="I5" i="5" s="1"/>
  <c r="I7" i="5" a="1"/>
  <c r="I7" i="5" s="1"/>
  <c r="I8" i="5" a="1"/>
  <c r="I8" i="5" s="1"/>
  <c r="I9" i="5" a="1"/>
  <c r="I9" i="5" s="1"/>
  <c r="I10" i="5" a="1"/>
  <c r="I10" i="5" s="1"/>
  <c r="I2" i="5" a="1"/>
  <c r="I2" i="5" s="1"/>
  <c r="C27" i="5" a="1"/>
  <c r="C27" i="5" s="1"/>
  <c r="K4" i="1"/>
  <c r="E4" i="1"/>
  <c r="E20" i="1" s="1"/>
  <c r="BF4" i="1" s="1"/>
  <c r="E2" i="6" s="1"/>
  <c r="AK20" i="1" l="1"/>
  <c r="BI9" i="1" s="1"/>
  <c r="G20" i="1"/>
  <c r="BI4" i="1" s="1"/>
  <c r="Y20" i="1"/>
  <c r="BI7" i="1" s="1"/>
  <c r="M4" i="1"/>
  <c r="K20" i="1"/>
  <c r="H2" i="6"/>
  <c r="AE20" i="1"/>
  <c r="BI8" i="1" s="1"/>
  <c r="H5" i="6"/>
  <c r="H10" i="6"/>
  <c r="BC20" i="1"/>
  <c r="BI12" i="1" s="1"/>
  <c r="G4" i="1"/>
  <c r="J2" i="5" a="1"/>
  <c r="I25" i="5"/>
  <c r="C33" i="5" s="1" a="1"/>
  <c r="C33" i="5" s="1"/>
  <c r="L25" i="5"/>
  <c r="Q18" i="5" s="1"/>
  <c r="K25" i="5"/>
  <c r="Q17" i="5" s="1"/>
  <c r="N25" i="5"/>
  <c r="Q20" i="5" s="1"/>
  <c r="M25" i="5"/>
  <c r="Q19" i="5" s="1"/>
  <c r="J25" i="5"/>
  <c r="Q16" i="5" s="1"/>
  <c r="BF5" i="1" l="1"/>
  <c r="E3" i="6" s="1"/>
  <c r="M20" i="1"/>
  <c r="BI5" i="1" s="1"/>
  <c r="C31" i="5" a="1"/>
  <c r="C31" i="5" s="1"/>
  <c r="C30" i="5" a="1"/>
  <c r="C30" i="5" s="1"/>
  <c r="C35" i="5" a="1"/>
  <c r="C35" i="5" s="1"/>
  <c r="C29" i="5" a="1"/>
  <c r="C29" i="5" s="1"/>
  <c r="C34" i="5" a="1"/>
  <c r="C34" i="5" s="1"/>
  <c r="C32" i="5" a="1"/>
  <c r="C32" i="5" s="1"/>
  <c r="C28" i="5" a="1"/>
  <c r="C28" i="5" s="1"/>
  <c r="J2" i="5"/>
  <c r="Q15" i="5"/>
  <c r="S15" i="5" s="1" a="1"/>
  <c r="S15" i="5" s="1"/>
  <c r="C36" i="5" a="1"/>
  <c r="C36" i="5" s="1"/>
  <c r="P2" i="5" l="1" a="1"/>
  <c r="P2" i="5" s="1"/>
  <c r="P7" i="5" a="1"/>
  <c r="P7" i="5" s="1"/>
  <c r="P3" i="5" a="1"/>
  <c r="P3" i="5" s="1"/>
  <c r="P5" i="5" a="1"/>
  <c r="P5" i="5" s="1"/>
  <c r="H3" i="6"/>
  <c r="P9" i="5" a="1"/>
  <c r="P9" i="5" s="1"/>
  <c r="P8" i="5" a="1"/>
  <c r="P8" i="5" s="1"/>
  <c r="P6" i="5" a="1"/>
  <c r="P6" i="5" s="1"/>
  <c r="P4" i="5" a="1"/>
  <c r="P4" i="5" s="1"/>
  <c r="P10" i="5" a="1"/>
  <c r="P10" i="5" s="1"/>
  <c r="B2" i="5" l="1" a="1"/>
  <c r="B2" i="5" s="1"/>
  <c r="B5" i="5" a="1"/>
  <c r="B5" i="5" s="1"/>
  <c r="B3" i="5" a="1"/>
  <c r="B3" i="5" s="1"/>
  <c r="B9" i="5" a="1"/>
  <c r="B9" i="5" s="1"/>
  <c r="B10" i="5" a="1"/>
  <c r="B10" i="5" s="1"/>
  <c r="B4" i="5" a="1"/>
  <c r="B4" i="5" s="1"/>
  <c r="B6" i="5" a="1"/>
  <c r="B6" i="5" s="1"/>
  <c r="B7" i="5" a="1"/>
  <c r="B7" i="5" s="1"/>
  <c r="B8" i="5" a="1"/>
  <c r="B8" i="5" s="1"/>
  <c r="Q2" i="5" a="1"/>
  <c r="Q2" i="5" l="1"/>
  <c r="C2" i="5" a="1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tc={17F3E07B-85DC-473E-80DD-F28B991AF892}</author>
    <author>tc={7E304552-1C52-4F53-9A9C-53188E835A6C}</author>
    <author>tc={E7D33DE1-9E8F-40DB-A663-79C1A4182B1D}</author>
    <author>tc={53BB66D6-0CD0-44EE-924E-FABFB28C1579}</author>
  </authors>
  <commentList>
    <comment ref="A1" authorId="0" shapeId="0" xr:uid="{17F3E07B-85DC-473E-80DD-F28B991A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manual</t>
      </text>
    </comment>
    <comment ref="B1" authorId="1" shapeId="0" xr:uid="{7E304552-1C52-4F53-9A9C-53188E835A6C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manual</t>
      </text>
    </comment>
    <comment ref="C1" authorId="2" shapeId="0" xr:uid="{E7D33DE1-9E8F-40DB-A663-79C1A4182B1D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manual</t>
      </text>
    </comment>
    <comment ref="G1" authorId="3" shapeId="0" xr:uid="{53BB66D6-0CD0-44EE-924E-FABFB28C1579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 manual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<sst xmlns="http://schemas.openxmlformats.org/spreadsheetml/2006/main" count="369" uniqueCount="101">
  <si>
    <t>Start</t>
  </si>
  <si>
    <t>Stop</t>
  </si>
  <si>
    <t>Mesin</t>
  </si>
  <si>
    <t>BRDR1</t>
  </si>
  <si>
    <t>BRDR2</t>
  </si>
  <si>
    <t>BRDR3</t>
  </si>
  <si>
    <t>BRDR4</t>
  </si>
  <si>
    <t>BRDR5</t>
  </si>
  <si>
    <t>BRDR6</t>
  </si>
  <si>
    <t>BRDR7</t>
  </si>
  <si>
    <t>BRDR8</t>
  </si>
  <si>
    <t>BRDR9</t>
  </si>
  <si>
    <t>Jarum patah</t>
  </si>
  <si>
    <t>Downtime</t>
  </si>
  <si>
    <t>Productivity</t>
  </si>
  <si>
    <t>Machine</t>
  </si>
  <si>
    <t>Product</t>
  </si>
  <si>
    <t>Downtime Cause</t>
  </si>
  <si>
    <t>Running Hour</t>
  </si>
  <si>
    <t>Frequency Trouble</t>
  </si>
  <si>
    <t>Date</t>
  </si>
  <si>
    <t>Downtime Start</t>
  </si>
  <si>
    <t>Downtime  Stop</t>
  </si>
  <si>
    <t>Total</t>
  </si>
  <si>
    <t>Trouble Machine</t>
  </si>
  <si>
    <t>Trouble Type</t>
  </si>
  <si>
    <t>Production Performance Dashboard</t>
  </si>
  <si>
    <t>Bundet Bawah</t>
  </si>
  <si>
    <t>Bundet Atas</t>
  </si>
  <si>
    <t>Benang Putus</t>
  </si>
  <si>
    <t>Sensor Lepas</t>
  </si>
  <si>
    <t>Mesin mati</t>
  </si>
  <si>
    <t>Bundet atas</t>
  </si>
  <si>
    <t>Benang putus</t>
  </si>
  <si>
    <t>Sensor lepas</t>
  </si>
  <si>
    <t>Bundet bawah</t>
  </si>
  <si>
    <t>BRDR</t>
  </si>
  <si>
    <t>Machine Identification</t>
  </si>
  <si>
    <t>Downtime (mins)</t>
  </si>
  <si>
    <t>Running Time (hours)</t>
  </si>
  <si>
    <t>Product (pcs)</t>
  </si>
  <si>
    <t>Productivity (pcs/hour)</t>
  </si>
  <si>
    <t>ACC</t>
  </si>
  <si>
    <t>Trouble Type Frequency</t>
  </si>
  <si>
    <t>Total Running Hour</t>
  </si>
  <si>
    <t>Average Running Hour</t>
  </si>
  <si>
    <t>TanggaK Produksi</t>
  </si>
  <si>
    <t>CoKumn1</t>
  </si>
  <si>
    <t>CoKumn2</t>
  </si>
  <si>
    <t>CoKumn3</t>
  </si>
  <si>
    <t>CoKumn4</t>
  </si>
  <si>
    <t>CoKumn5</t>
  </si>
  <si>
    <t>CoKumn6</t>
  </si>
  <si>
    <t>CoKumn7</t>
  </si>
  <si>
    <t>CoKumn8</t>
  </si>
  <si>
    <t>CoKumn9</t>
  </si>
  <si>
    <t>CoKumn10</t>
  </si>
  <si>
    <t>CoKumn11</t>
  </si>
  <si>
    <t>CoKumn12</t>
  </si>
  <si>
    <t>CoKumn13</t>
  </si>
  <si>
    <t>CoKumn14</t>
  </si>
  <si>
    <t>CoKumn15</t>
  </si>
  <si>
    <t>CoKumn16</t>
  </si>
  <si>
    <t>CoKumn17</t>
  </si>
  <si>
    <t>CoKumn18</t>
  </si>
  <si>
    <t>CoKumn19</t>
  </si>
  <si>
    <t>CoKumn20</t>
  </si>
  <si>
    <t>CoKumn21</t>
  </si>
  <si>
    <t>CoKumn22</t>
  </si>
  <si>
    <t>CoKumn23</t>
  </si>
  <si>
    <t>CoKumn24</t>
  </si>
  <si>
    <t>CoKumn25</t>
  </si>
  <si>
    <t>CoKumn26</t>
  </si>
  <si>
    <t>CoKumn27</t>
  </si>
  <si>
    <t>CoKumn28</t>
  </si>
  <si>
    <t>CoKumn29</t>
  </si>
  <si>
    <t>CoKumn30</t>
  </si>
  <si>
    <t>CoKumn31</t>
  </si>
  <si>
    <t>CoKumn32</t>
  </si>
  <si>
    <t>CoKumn33</t>
  </si>
  <si>
    <t>CoKumn34</t>
  </si>
  <si>
    <t>CoKumn35</t>
  </si>
  <si>
    <t>CoKumn36</t>
  </si>
  <si>
    <t>CoKumn37</t>
  </si>
  <si>
    <t>CoKumn38</t>
  </si>
  <si>
    <t>CoKumn39</t>
  </si>
  <si>
    <t>CoKumn40</t>
  </si>
  <si>
    <t>CoKumn41</t>
  </si>
  <si>
    <t>CoKumn42</t>
  </si>
  <si>
    <t>CoKumn43</t>
  </si>
  <si>
    <t>CoKumn44</t>
  </si>
  <si>
    <t>CoKumn45</t>
  </si>
  <si>
    <t>CoKumn46</t>
  </si>
  <si>
    <t>CoKumn47</t>
  </si>
  <si>
    <t>CoKumn48</t>
  </si>
  <si>
    <t>CoKumn49</t>
  </si>
  <si>
    <t>CoKumn50</t>
  </si>
  <si>
    <t>CoKumn51</t>
  </si>
  <si>
    <t>CoKumn52</t>
  </si>
  <si>
    <t>CoKumn53</t>
  </si>
  <si>
    <t>TotaK Running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</si>
</sst>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400]h:mm:ss\ AM/PM"/>
    <numFmt numFmtId="165" formatCode="[h]:mm;@"/>
    <numFmt numFmtId="166" formatCode="[h];@"/>
    <numFmt numFmtId="167" formatCode="[m];@"/>
    <numFmt numFmtId="172" formatCode="&quot;BRDR&quot;#"/>
    <numFmt numFmtId="175" formatCode="hh:mm;@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7">
    <xf numFmtId="0" fontId="0" fillId="0" borderId="0" xfId="0"/>
    <xf numFmtId="164" fontId="0" fillId="0" borderId="0" xfId="0" applyNumberFormat="1"/>
    <xf numFmtId="21" fontId="0" fillId="0" borderId="0" xfId="0" applyNumberFormat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4" fontId="0" fillId="0" borderId="2" xfId="0" applyNumberFormat="1" applyBorder="1"/>
    <xf numFmtId="164" fontId="0" fillId="0" borderId="2" xfId="0" applyNumberFormat="1" applyBorder="1"/>
    <xf numFmtId="21" fontId="0" fillId="0" borderId="2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21" fontId="0" fillId="0" borderId="4" xfId="0" applyNumberFormat="1" applyBorder="1"/>
    <xf numFmtId="0" fontId="2" fillId="0" borderId="0" xfId="0" applyFont="1" applyAlignment="1">
      <alignment horizontal="center"/>
    </xf>
    <xf numFmtId="1" fontId="0" fillId="0" borderId="2" xfId="0" applyNumberFormat="1" applyBorder="1"/>
    <xf numFmtId="2" fontId="0" fillId="0" borderId="2" xfId="0" applyNumberFormat="1" applyBorder="1"/>
    <xf numFmtId="1" fontId="0" fillId="0" borderId="4" xfId="0" applyNumberFormat="1" applyBorder="1"/>
    <xf numFmtId="2" fontId="0" fillId="0" borderId="4" xfId="0" applyNumberFormat="1" applyBorder="1"/>
    <xf numFmtId="166" fontId="0" fillId="0" borderId="4" xfId="0" applyNumberFormat="1" applyBorder="1"/>
    <xf numFmtId="167" fontId="0" fillId="0" borderId="4" xfId="0" applyNumberFormat="1" applyBorder="1"/>
    <xf numFmtId="0" fontId="5" fillId="2" borderId="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7" fontId="0" fillId="0" borderId="0" xfId="0" applyNumberFormat="1"/>
    <xf numFmtId="0" fontId="5" fillId="0" borderId="0" xfId="0" applyFont="1" applyAlignment="1">
      <alignment horizontal="center" vertical="center"/>
    </xf>
    <xf numFmtId="1" fontId="3" fillId="0" borderId="0" xfId="0" applyNumberFormat="1" applyFont="1"/>
    <xf numFmtId="0" fontId="5" fillId="3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1" xfId="1" applyAlignment="1">
      <alignment horizontal="center" vertical="center"/>
    </xf>
    <xf numFmtId="1" fontId="0" fillId="0" borderId="0" xfId="0" applyNumberFormat="1"/>
    <xf numFmtId="172" fontId="0" fillId="0" borderId="0" xfId="0" applyNumberFormat="1"/>
    <xf numFmtId="172" fontId="0" fillId="0" borderId="0" xfId="0" applyNumberFormat="1" applyAlignment="1">
      <alignment horizontal="left"/>
    </xf>
    <xf numFmtId="175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Border="1"/>
    <xf numFmtId="164" fontId="0" fillId="0" borderId="0" xfId="0" applyNumberFormat="1" applyBorder="1"/>
    <xf numFmtId="21" fontId="0" fillId="0" borderId="0" xfId="0" applyNumberFormat="1" applyBorder="1"/>
    <xf numFmtId="167" fontId="0" fillId="0" borderId="0" xfId="0" applyNumberFormat="1" applyBorder="1"/>
    <xf numFmtId="166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Border="1"/>
    <xf numFmtId="0" fontId="5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7" fontId="0" fillId="0" borderId="2" xfId="0" applyNumberFormat="1" applyBorder="1"/>
    <xf numFmtId="166" fontId="0" fillId="0" borderId="2" xfId="0" applyNumberFormat="1" applyBorder="1"/>
    <xf numFmtId="14" fontId="2" fillId="0" borderId="2" xfId="0" applyNumberFormat="1" applyFont="1" applyBorder="1" applyAlignment="1">
      <alignment horizontal="center" vertical="center"/>
    </xf>
    <xf numFmtId="0" fontId="0" fillId="0" borderId="0" xfId="0" applyBorder="1"/>
    <xf numFmtId="2" fontId="6" fillId="0" borderId="0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7" fontId="0" fillId="0" borderId="0" xfId="0" applyNumberFormat="1" applyFont="1" applyFill="1" applyBorder="1"/>
    <xf numFmtId="0" fontId="0" fillId="0" borderId="0" xfId="0" applyFont="1" applyFill="1"/>
    <xf numFmtId="0" fontId="0" fillId="0" borderId="2" xfId="0" applyBorder="1"/>
    <xf numFmtId="0" fontId="0" fillId="0" borderId="4" xfId="0" applyBorder="1"/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66" fontId="0" fillId="0" borderId="13" xfId="0" applyNumberFormat="1" applyFont="1" applyFill="1" applyBorder="1"/>
    <xf numFmtId="166" fontId="0" fillId="0" borderId="0" xfId="0" applyNumberFormat="1" applyFont="1" applyFill="1" applyBorder="1"/>
    <xf numFmtId="0" fontId="0" fillId="0" borderId="0" xfId="0" applyFont="1" applyFill="1" applyBorder="1"/>
    <xf numFmtId="0" fontId="5" fillId="3" borderId="3" xfId="0" applyFont="1" applyFill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67">
    <dxf>
      <numFmt numFmtId="2" formatCode="0.00"/>
    </dxf>
    <dxf>
      <numFmt numFmtId="1" formatCode="0"/>
    </dxf>
    <dxf>
      <numFmt numFmtId="167" formatCode="[m];@"/>
    </dxf>
    <dxf>
      <numFmt numFmtId="167" formatCode="[m];@"/>
    </dxf>
    <dxf>
      <numFmt numFmtId="167" formatCode="[m];@"/>
    </dxf>
    <dxf>
      <numFmt numFmtId="165" formatCode="[h]:mm;@"/>
    </dxf>
    <dxf>
      <numFmt numFmtId="26" formatCode="hh:mm:ss"/>
    </dxf>
    <dxf>
      <numFmt numFmtId="164" formatCode="[$-F400]h:mm:ss\ AM/PM"/>
    </dxf>
    <dxf>
      <numFmt numFmtId="19" formatCode="dd/mm/yyyy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h];@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31" formatCode="[h]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99FF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</a:t>
            </a:r>
            <a:r>
              <a:rPr lang="en-US" baseline="0"/>
              <a:t> </a:t>
            </a:r>
            <a:r>
              <a:rPr lang="en-US"/>
              <a:t>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Calculation!$C$2:$C$10</c:f>
              <c:strCache>
                <c:ptCount val="9"/>
                <c:pt idx="0">
                  <c:v>BRDR4</c:v>
                </c:pt>
                <c:pt idx="1">
                  <c:v>BRDR2</c:v>
                </c:pt>
                <c:pt idx="2">
                  <c:v>BRDR3</c:v>
                </c:pt>
                <c:pt idx="3">
                  <c:v>BRDR1</c:v>
                </c:pt>
                <c:pt idx="4">
                  <c:v>BRDR9</c:v>
                </c:pt>
                <c:pt idx="5">
                  <c:v>BRDR6</c:v>
                </c:pt>
                <c:pt idx="6">
                  <c:v>BRDR5</c:v>
                </c:pt>
                <c:pt idx="7">
                  <c:v>BRDR7</c:v>
                </c:pt>
                <c:pt idx="8">
                  <c:v>BRDR8</c:v>
                </c:pt>
              </c:strCache>
            </c:strRef>
          </c:cat>
          <c:val>
            <c:numRef>
              <c:f>Calculation!$E$2:$E$10</c:f>
              <c:numCache>
                <c:formatCode>0.00</c:formatCode>
                <c:ptCount val="9"/>
                <c:pt idx="0">
                  <c:v>1.1487275274340416</c:v>
                </c:pt>
                <c:pt idx="1">
                  <c:v>1.1623564559798338</c:v>
                </c:pt>
                <c:pt idx="2">
                  <c:v>1.1707317073170729</c:v>
                </c:pt>
                <c:pt idx="3">
                  <c:v>1.1772723000281979</c:v>
                </c:pt>
                <c:pt idx="4">
                  <c:v>1.1844170670218335</c:v>
                </c:pt>
                <c:pt idx="5">
                  <c:v>1.1941556617027254</c:v>
                </c:pt>
                <c:pt idx="6">
                  <c:v>#N/A</c:v>
                </c:pt>
                <c:pt idx="7">
                  <c:v>1.2045646661031275</c:v>
                </c:pt>
                <c:pt idx="8">
                  <c:v>1.2367154363055806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0-4014-A9A0-F22B31E83784}"/>
            </c:ext>
          </c:extLst>
        </c:ser>
        <c:ser>
          <c:idx val="1"/>
          <c:order val="1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Calculation!$C$2:$C$10</c:f>
              <c:strCache>
                <c:ptCount val="9"/>
                <c:pt idx="0">
                  <c:v>BRDR4</c:v>
                </c:pt>
                <c:pt idx="1">
                  <c:v>BRDR2</c:v>
                </c:pt>
                <c:pt idx="2">
                  <c:v>BRDR3</c:v>
                </c:pt>
                <c:pt idx="3">
                  <c:v>BRDR1</c:v>
                </c:pt>
                <c:pt idx="4">
                  <c:v>BRDR9</c:v>
                </c:pt>
                <c:pt idx="5">
                  <c:v>BRDR6</c:v>
                </c:pt>
                <c:pt idx="6">
                  <c:v>BRDR5</c:v>
                </c:pt>
                <c:pt idx="7">
                  <c:v>BRDR7</c:v>
                </c:pt>
                <c:pt idx="8">
                  <c:v>BRDR8</c:v>
                </c:pt>
              </c:strCache>
            </c:strRef>
          </c:cat>
          <c:val>
            <c:numRef>
              <c:f>Calculation!$F$2:$F$10</c:f>
              <c:numCache>
                <c:formatCode>0.00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1.196789787393814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0-4014-A9A0-F22B31E83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5263663"/>
        <c:axId val="1285264623"/>
      </c:barChart>
      <c:catAx>
        <c:axId val="128526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4623"/>
        <c:crosses val="autoZero"/>
        <c:auto val="1"/>
        <c:lblAlgn val="ctr"/>
        <c:lblOffset val="100"/>
        <c:noMultiLvlLbl val="0"/>
      </c:catAx>
      <c:valAx>
        <c:axId val="128526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Pcs/hour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 Downtime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Calculation!$J$2:$J$10</c:f>
              <c:strCache>
                <c:ptCount val="9"/>
                <c:pt idx="0">
                  <c:v>BRDR3</c:v>
                </c:pt>
                <c:pt idx="1">
                  <c:v>BRDR2</c:v>
                </c:pt>
                <c:pt idx="2">
                  <c:v>BRDR4</c:v>
                </c:pt>
                <c:pt idx="3">
                  <c:v>BRDR6</c:v>
                </c:pt>
                <c:pt idx="4">
                  <c:v>BRDR5</c:v>
                </c:pt>
                <c:pt idx="5">
                  <c:v>BRDR7</c:v>
                </c:pt>
                <c:pt idx="6">
                  <c:v>BRDR1</c:v>
                </c:pt>
                <c:pt idx="7">
                  <c:v>BRDR9</c:v>
                </c:pt>
                <c:pt idx="8">
                  <c:v>BRDR8</c:v>
                </c:pt>
              </c:strCache>
            </c:strRef>
          </c:cat>
          <c:val>
            <c:numRef>
              <c:f>Calculation!$L$2:$L$10</c:f>
              <c:numCache>
                <c:formatCode>[m];@</c:formatCode>
                <c:ptCount val="9"/>
                <c:pt idx="0">
                  <c:v>2.083333333333337E-2</c:v>
                </c:pt>
                <c:pt idx="1">
                  <c:v>4.9444444444444458E-2</c:v>
                </c:pt>
                <c:pt idx="2">
                  <c:v>5.1388888888888928E-2</c:v>
                </c:pt>
                <c:pt idx="3">
                  <c:v>6.8333333333333357E-2</c:v>
                </c:pt>
                <c:pt idx="4">
                  <c:v>#N/A</c:v>
                </c:pt>
                <c:pt idx="5">
                  <c:v>8.4999999999999964E-2</c:v>
                </c:pt>
                <c:pt idx="6">
                  <c:v>8.9444444444444438E-2</c:v>
                </c:pt>
                <c:pt idx="7">
                  <c:v>0.16027777777777774</c:v>
                </c:pt>
                <c:pt idx="8">
                  <c:v>0.17138888888888887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C-4B4F-BB60-7D087D998C81}"/>
            </c:ext>
          </c:extLst>
        </c:ser>
        <c:ser>
          <c:idx val="1"/>
          <c:order val="1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Calculation!$J$2:$J$10</c:f>
              <c:strCache>
                <c:ptCount val="9"/>
                <c:pt idx="0">
                  <c:v>BRDR3</c:v>
                </c:pt>
                <c:pt idx="1">
                  <c:v>BRDR2</c:v>
                </c:pt>
                <c:pt idx="2">
                  <c:v>BRDR4</c:v>
                </c:pt>
                <c:pt idx="3">
                  <c:v>BRDR6</c:v>
                </c:pt>
                <c:pt idx="4">
                  <c:v>BRDR5</c:v>
                </c:pt>
                <c:pt idx="5">
                  <c:v>BRDR7</c:v>
                </c:pt>
                <c:pt idx="6">
                  <c:v>BRDR1</c:v>
                </c:pt>
                <c:pt idx="7">
                  <c:v>BRDR9</c:v>
                </c:pt>
                <c:pt idx="8">
                  <c:v>BRDR8</c:v>
                </c:pt>
              </c:strCache>
            </c:strRef>
          </c:cat>
          <c:val>
            <c:numRef>
              <c:f>Calculation!$M$2:$M$10</c:f>
              <c:numCache>
                <c:formatCode>[m];@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8.1388888888888899E-2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C-4B4F-BB60-7D087D998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5263663"/>
        <c:axId val="1285264623"/>
      </c:barChart>
      <c:catAx>
        <c:axId val="128526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4623"/>
        <c:crosses val="autoZero"/>
        <c:auto val="1"/>
        <c:lblAlgn val="ctr"/>
        <c:lblOffset val="100"/>
        <c:noMultiLvlLbl val="0"/>
      </c:catAx>
      <c:valAx>
        <c:axId val="128526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 Running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Calculation!$Q$2:$Q$10</c:f>
              <c:strCache>
                <c:ptCount val="9"/>
                <c:pt idx="0">
                  <c:v>BRDR8</c:v>
                </c:pt>
                <c:pt idx="1">
                  <c:v>BRDR9</c:v>
                </c:pt>
                <c:pt idx="2">
                  <c:v>BRDR1</c:v>
                </c:pt>
                <c:pt idx="3">
                  <c:v>BRDR7</c:v>
                </c:pt>
                <c:pt idx="4">
                  <c:v>BRDR5</c:v>
                </c:pt>
                <c:pt idx="5">
                  <c:v>BRDR6</c:v>
                </c:pt>
                <c:pt idx="6">
                  <c:v>BRDR4</c:v>
                </c:pt>
                <c:pt idx="7">
                  <c:v>BRDR2</c:v>
                </c:pt>
                <c:pt idx="8">
                  <c:v>BRDR3</c:v>
                </c:pt>
              </c:strCache>
            </c:strRef>
          </c:cat>
          <c:val>
            <c:numRef>
              <c:f>Calculation!$S$2:$S$10</c:f>
              <c:numCache>
                <c:formatCode>[m];@</c:formatCode>
                <c:ptCount val="9"/>
                <c:pt idx="0">
                  <c:v>9.7143518518518518E-2</c:v>
                </c:pt>
                <c:pt idx="1">
                  <c:v>9.7328703703703695E-2</c:v>
                </c:pt>
                <c:pt idx="2">
                  <c:v>9.8509259259259269E-2</c:v>
                </c:pt>
                <c:pt idx="3">
                  <c:v>9.8583333333333342E-2</c:v>
                </c:pt>
                <c:pt idx="4">
                  <c:v>#N/A</c:v>
                </c:pt>
                <c:pt idx="5">
                  <c:v>9.8861111111111122E-2</c:v>
                </c:pt>
                <c:pt idx="6">
                  <c:v>9.914351851851852E-2</c:v>
                </c:pt>
                <c:pt idx="7">
                  <c:v>9.9175925925925931E-2</c:v>
                </c:pt>
                <c:pt idx="8">
                  <c:v>9.9652777777777798E-2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739-B23A-1613AC36632B}"/>
            </c:ext>
          </c:extLst>
        </c:ser>
        <c:ser>
          <c:idx val="1"/>
          <c:order val="1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Calculation!$Q$2:$Q$10</c:f>
              <c:strCache>
                <c:ptCount val="9"/>
                <c:pt idx="0">
                  <c:v>BRDR8</c:v>
                </c:pt>
                <c:pt idx="1">
                  <c:v>BRDR9</c:v>
                </c:pt>
                <c:pt idx="2">
                  <c:v>BRDR1</c:v>
                </c:pt>
                <c:pt idx="3">
                  <c:v>BRDR7</c:v>
                </c:pt>
                <c:pt idx="4">
                  <c:v>BRDR5</c:v>
                </c:pt>
                <c:pt idx="5">
                  <c:v>BRDR6</c:v>
                </c:pt>
                <c:pt idx="6">
                  <c:v>BRDR4</c:v>
                </c:pt>
                <c:pt idx="7">
                  <c:v>BRDR2</c:v>
                </c:pt>
                <c:pt idx="8">
                  <c:v>BRDR3</c:v>
                </c:pt>
              </c:strCache>
            </c:strRef>
          </c:cat>
          <c:val>
            <c:numRef>
              <c:f>Calculation!$T$2:$T$10</c:f>
              <c:numCache>
                <c:formatCode>[m];@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9.8643518518518533E-2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739-B23A-1613AC366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5263663"/>
        <c:axId val="1285264623"/>
      </c:barChart>
      <c:catAx>
        <c:axId val="128526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4623"/>
        <c:crosses val="autoZero"/>
        <c:auto val="1"/>
        <c:lblAlgn val="ctr"/>
        <c:lblOffset val="100"/>
        <c:noMultiLvlLbl val="0"/>
      </c:catAx>
      <c:valAx>
        <c:axId val="128526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Trouble</a:t>
            </a:r>
            <a:r>
              <a:rPr lang="en-US" baseline="0"/>
              <a:t>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Calculation!$C$15:$C$23</c:f>
              <c:strCache>
                <c:ptCount val="9"/>
                <c:pt idx="0">
                  <c:v>BRDR2</c:v>
                </c:pt>
                <c:pt idx="1">
                  <c:v>BRDR3</c:v>
                </c:pt>
                <c:pt idx="2">
                  <c:v>BRDR4</c:v>
                </c:pt>
                <c:pt idx="3">
                  <c:v>BRDR6</c:v>
                </c:pt>
                <c:pt idx="4">
                  <c:v>BRDR7</c:v>
                </c:pt>
                <c:pt idx="5">
                  <c:v>BRDR1</c:v>
                </c:pt>
                <c:pt idx="6">
                  <c:v>BRDR5</c:v>
                </c:pt>
                <c:pt idx="7">
                  <c:v>BRDR8</c:v>
                </c:pt>
                <c:pt idx="8">
                  <c:v>BRDR9</c:v>
                </c:pt>
              </c:strCache>
            </c:strRef>
          </c:cat>
          <c:val>
            <c:numRef>
              <c:f>Calculation!$E$15:$E$24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#N/A</c:v>
                </c:pt>
                <c:pt idx="7">
                  <c:v>7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A-4D14-9770-730583C6B1A3}"/>
            </c:ext>
          </c:extLst>
        </c:ser>
        <c:ser>
          <c:idx val="1"/>
          <c:order val="1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Calculation!$C$15:$C$23</c:f>
              <c:strCache>
                <c:ptCount val="9"/>
                <c:pt idx="0">
                  <c:v>BRDR2</c:v>
                </c:pt>
                <c:pt idx="1">
                  <c:v>BRDR3</c:v>
                </c:pt>
                <c:pt idx="2">
                  <c:v>BRDR4</c:v>
                </c:pt>
                <c:pt idx="3">
                  <c:v>BRDR6</c:v>
                </c:pt>
                <c:pt idx="4">
                  <c:v>BRDR7</c:v>
                </c:pt>
                <c:pt idx="5">
                  <c:v>BRDR1</c:v>
                </c:pt>
                <c:pt idx="6">
                  <c:v>BRDR5</c:v>
                </c:pt>
                <c:pt idx="7">
                  <c:v>BRDR8</c:v>
                </c:pt>
                <c:pt idx="8">
                  <c:v>BRDR9</c:v>
                </c:pt>
              </c:strCache>
            </c:strRef>
          </c:cat>
          <c:val>
            <c:numRef>
              <c:f>Calculation!$F$15:$F$24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6A-4D14-9770-730583C6B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5263663"/>
        <c:axId val="1285264623"/>
      </c:barChart>
      <c:catAx>
        <c:axId val="128526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4623"/>
        <c:crosses val="autoZero"/>
        <c:auto val="1"/>
        <c:lblAlgn val="ctr"/>
        <c:lblOffset val="100"/>
        <c:noMultiLvlLbl val="0"/>
      </c:catAx>
      <c:valAx>
        <c:axId val="128526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Trouble</a:t>
            </a:r>
            <a:r>
              <a:rPr lang="en-US" baseline="0"/>
              <a:t>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Calculation!$S$15:$S$20</c:f>
              <c:strCache>
                <c:ptCount val="6"/>
                <c:pt idx="0">
                  <c:v>Jarum patah</c:v>
                </c:pt>
                <c:pt idx="1">
                  <c:v>Sensor Lepas</c:v>
                </c:pt>
                <c:pt idx="2">
                  <c:v>Benang Putus</c:v>
                </c:pt>
                <c:pt idx="3">
                  <c:v>Bundet Bawah</c:v>
                </c:pt>
                <c:pt idx="4">
                  <c:v>Mesin mati</c:v>
                </c:pt>
                <c:pt idx="5">
                  <c:v>Bundet Atas</c:v>
                </c:pt>
              </c:strCache>
            </c:strRef>
          </c:cat>
          <c:val>
            <c:numRef>
              <c:f>Calculation!$T$16:$T$20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5-4555-BB80-7C6BC358C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5263663"/>
        <c:axId val="1285264623"/>
      </c:barChart>
      <c:catAx>
        <c:axId val="128526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4623"/>
        <c:crosses val="autoZero"/>
        <c:auto val="1"/>
        <c:lblAlgn val="ctr"/>
        <c:lblOffset val="100"/>
        <c:noMultiLvlLbl val="0"/>
      </c:catAx>
      <c:valAx>
        <c:axId val="128526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Running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Calculation!$X$2:$X$10</c:f>
              <c:strCache>
                <c:ptCount val="9"/>
                <c:pt idx="0">
                  <c:v>BRDR8</c:v>
                </c:pt>
                <c:pt idx="1">
                  <c:v>BRDR9</c:v>
                </c:pt>
                <c:pt idx="2">
                  <c:v>BRDR1</c:v>
                </c:pt>
                <c:pt idx="3">
                  <c:v>BRDR7</c:v>
                </c:pt>
                <c:pt idx="4">
                  <c:v>BRDR5</c:v>
                </c:pt>
                <c:pt idx="5">
                  <c:v>BRDR6</c:v>
                </c:pt>
                <c:pt idx="6">
                  <c:v>BRDR4</c:v>
                </c:pt>
                <c:pt idx="7">
                  <c:v>BRDR2</c:v>
                </c:pt>
                <c:pt idx="8">
                  <c:v>BRDR3</c:v>
                </c:pt>
              </c:strCache>
            </c:strRef>
          </c:cat>
          <c:val>
            <c:numRef>
              <c:f>Calculation!$Z$2:$Z$10</c:f>
              <c:numCache>
                <c:formatCode>[h];@</c:formatCode>
                <c:ptCount val="9"/>
                <c:pt idx="0">
                  <c:v>0.36428819444444444</c:v>
                </c:pt>
                <c:pt idx="1">
                  <c:v>0.36498263888888888</c:v>
                </c:pt>
                <c:pt idx="2">
                  <c:v>0.36940972222222224</c:v>
                </c:pt>
                <c:pt idx="3">
                  <c:v>0.36968750000000006</c:v>
                </c:pt>
                <c:pt idx="4">
                  <c:v>#N/A</c:v>
                </c:pt>
                <c:pt idx="5">
                  <c:v>0.37072916666666672</c:v>
                </c:pt>
                <c:pt idx="6">
                  <c:v>0.37178819444444444</c:v>
                </c:pt>
                <c:pt idx="7">
                  <c:v>0.37190972222222224</c:v>
                </c:pt>
                <c:pt idx="8">
                  <c:v>0.37369791666666674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1-4F3C-B33E-174C40496F0B}"/>
            </c:ext>
          </c:extLst>
        </c:ser>
        <c:ser>
          <c:idx val="1"/>
          <c:order val="1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Calculation!$X$2:$X$10</c:f>
              <c:strCache>
                <c:ptCount val="9"/>
                <c:pt idx="0">
                  <c:v>BRDR8</c:v>
                </c:pt>
                <c:pt idx="1">
                  <c:v>BRDR9</c:v>
                </c:pt>
                <c:pt idx="2">
                  <c:v>BRDR1</c:v>
                </c:pt>
                <c:pt idx="3">
                  <c:v>BRDR7</c:v>
                </c:pt>
                <c:pt idx="4">
                  <c:v>BRDR5</c:v>
                </c:pt>
                <c:pt idx="5">
                  <c:v>BRDR6</c:v>
                </c:pt>
                <c:pt idx="6">
                  <c:v>BRDR4</c:v>
                </c:pt>
                <c:pt idx="7">
                  <c:v>BRDR2</c:v>
                </c:pt>
                <c:pt idx="8">
                  <c:v>BRDR3</c:v>
                </c:pt>
              </c:strCache>
            </c:strRef>
          </c:cat>
          <c:val>
            <c:numRef>
              <c:f>Calculation!$AA$2:$AA$10</c:f>
              <c:numCache>
                <c:formatCode>[h];@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0.36991319444444448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1-4F3C-B33E-174C40496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5263663"/>
        <c:axId val="1285264623"/>
      </c:barChart>
      <c:catAx>
        <c:axId val="128526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4623"/>
        <c:crosses val="autoZero"/>
        <c:auto val="1"/>
        <c:lblAlgn val="ctr"/>
        <c:lblOffset val="100"/>
        <c:noMultiLvlLbl val="0"/>
      </c:catAx>
      <c:valAx>
        <c:axId val="128526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'!$G$3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'!$G$4:$G$19</c:f>
              <c:numCache>
                <c:formatCode>0.00</c:formatCode>
                <c:ptCount val="16"/>
                <c:pt idx="0">
                  <c:v>1.0588235294117647</c:v>
                </c:pt>
                <c:pt idx="1">
                  <c:v>0.99999999999999989</c:v>
                </c:pt>
                <c:pt idx="2">
                  <c:v>1.2222222222222221</c:v>
                </c:pt>
                <c:pt idx="3">
                  <c:v>1.2222222222222221</c:v>
                </c:pt>
                <c:pt idx="4">
                  <c:v>1.3333333333333333</c:v>
                </c:pt>
                <c:pt idx="5">
                  <c:v>0.99999999999999989</c:v>
                </c:pt>
                <c:pt idx="6">
                  <c:v>1.2222222222222221</c:v>
                </c:pt>
                <c:pt idx="7">
                  <c:v>1.1111111111111109</c:v>
                </c:pt>
                <c:pt idx="8">
                  <c:v>1.3333333333333333</c:v>
                </c:pt>
                <c:pt idx="9">
                  <c:v>1.407349491790461</c:v>
                </c:pt>
                <c:pt idx="10">
                  <c:v>1.1111111111111109</c:v>
                </c:pt>
                <c:pt idx="11">
                  <c:v>1.4962593516209475</c:v>
                </c:pt>
                <c:pt idx="12">
                  <c:v>1.1111111111111109</c:v>
                </c:pt>
                <c:pt idx="13">
                  <c:v>1.1355034065102194</c:v>
                </c:pt>
                <c:pt idx="14">
                  <c:v>1.1111111111111109</c:v>
                </c:pt>
                <c:pt idx="1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C-47F6-99E3-0B24B65FC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'!$M$3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'!$M$4:$M$19</c:f>
              <c:numCache>
                <c:formatCode>0.00</c:formatCode>
                <c:ptCount val="16"/>
                <c:pt idx="0">
                  <c:v>1.2692307692307689</c:v>
                </c:pt>
                <c:pt idx="1">
                  <c:v>1.1111111111111109</c:v>
                </c:pt>
                <c:pt idx="2">
                  <c:v>0.99999999999999989</c:v>
                </c:pt>
                <c:pt idx="3">
                  <c:v>1.1111111111111109</c:v>
                </c:pt>
                <c:pt idx="4">
                  <c:v>1.2222222222222221</c:v>
                </c:pt>
                <c:pt idx="5">
                  <c:v>1.2222222222222221</c:v>
                </c:pt>
                <c:pt idx="6">
                  <c:v>1.1111111111111109</c:v>
                </c:pt>
                <c:pt idx="7">
                  <c:v>1.1111111111111109</c:v>
                </c:pt>
                <c:pt idx="8">
                  <c:v>1.1111111111111109</c:v>
                </c:pt>
                <c:pt idx="9">
                  <c:v>0.99999999999999989</c:v>
                </c:pt>
                <c:pt idx="10">
                  <c:v>1.3333333333333333</c:v>
                </c:pt>
                <c:pt idx="11">
                  <c:v>0.99999999999999989</c:v>
                </c:pt>
                <c:pt idx="12">
                  <c:v>1.2222222222222221</c:v>
                </c:pt>
                <c:pt idx="13">
                  <c:v>1.3333333333333333</c:v>
                </c:pt>
                <c:pt idx="14">
                  <c:v>1.2274959083469719</c:v>
                </c:pt>
                <c:pt idx="15">
                  <c:v>1.2222222222222221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0-45B8-B93B-8635FE80F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'!$S$3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'!$S$4:$S$19</c:f>
              <c:numCache>
                <c:formatCode>0.00</c:formatCode>
                <c:ptCount val="16"/>
                <c:pt idx="0">
                  <c:v>0.99999999999999989</c:v>
                </c:pt>
                <c:pt idx="1">
                  <c:v>1.2222222222222221</c:v>
                </c:pt>
                <c:pt idx="2">
                  <c:v>0.99999999999999989</c:v>
                </c:pt>
                <c:pt idx="3">
                  <c:v>1.3333333333333333</c:v>
                </c:pt>
                <c:pt idx="4">
                  <c:v>1.3333333333333333</c:v>
                </c:pt>
                <c:pt idx="5">
                  <c:v>1.2222222222222221</c:v>
                </c:pt>
                <c:pt idx="6">
                  <c:v>1.3986013986013983</c:v>
                </c:pt>
                <c:pt idx="7">
                  <c:v>0.99999999999999989</c:v>
                </c:pt>
                <c:pt idx="8">
                  <c:v>1.3333333333333333</c:v>
                </c:pt>
                <c:pt idx="9">
                  <c:v>0.99999999999999989</c:v>
                </c:pt>
                <c:pt idx="10">
                  <c:v>1.1111111111111109</c:v>
                </c:pt>
                <c:pt idx="11">
                  <c:v>0.99999999999999989</c:v>
                </c:pt>
                <c:pt idx="12">
                  <c:v>1.1111111111111109</c:v>
                </c:pt>
                <c:pt idx="13">
                  <c:v>1.2222222222222221</c:v>
                </c:pt>
                <c:pt idx="14">
                  <c:v>1.3333333333333333</c:v>
                </c:pt>
                <c:pt idx="15">
                  <c:v>1.1210762331838564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F-4794-BB3C-BAFF02A6A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'!$Y$3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'!$Y$4:$Y$19</c:f>
              <c:numCache>
                <c:formatCode>0.00</c:formatCode>
                <c:ptCount val="16"/>
                <c:pt idx="0">
                  <c:v>1.3333333333333333</c:v>
                </c:pt>
                <c:pt idx="1">
                  <c:v>1.048951048951049</c:v>
                </c:pt>
                <c:pt idx="2">
                  <c:v>1.1111111111111109</c:v>
                </c:pt>
                <c:pt idx="3">
                  <c:v>0.99999999999999989</c:v>
                </c:pt>
                <c:pt idx="4">
                  <c:v>1.2222222222222221</c:v>
                </c:pt>
                <c:pt idx="5">
                  <c:v>1.0273972602739725</c:v>
                </c:pt>
                <c:pt idx="6">
                  <c:v>1.1111111111111109</c:v>
                </c:pt>
                <c:pt idx="7">
                  <c:v>1.2222222222222221</c:v>
                </c:pt>
                <c:pt idx="8">
                  <c:v>0.99999999999999989</c:v>
                </c:pt>
                <c:pt idx="9">
                  <c:v>1.1111111111111109</c:v>
                </c:pt>
                <c:pt idx="10">
                  <c:v>1.1111111111111109</c:v>
                </c:pt>
                <c:pt idx="11">
                  <c:v>1.1111111111111109</c:v>
                </c:pt>
                <c:pt idx="12">
                  <c:v>1.3333333333333333</c:v>
                </c:pt>
                <c:pt idx="13">
                  <c:v>1.3333333333333333</c:v>
                </c:pt>
                <c:pt idx="14">
                  <c:v>1.0680379746835442</c:v>
                </c:pt>
                <c:pt idx="15">
                  <c:v>1.2222222222222221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F-4DC2-BB24-DDF2BAA23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'!$AE$3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'!$AE$4:$AE$19</c:f>
              <c:numCache>
                <c:formatCode>0.00</c:formatCode>
                <c:ptCount val="16"/>
                <c:pt idx="0">
                  <c:v>1.2222222222222221</c:v>
                </c:pt>
                <c:pt idx="1">
                  <c:v>1.0059612518628911</c:v>
                </c:pt>
                <c:pt idx="2">
                  <c:v>1.1111111111111109</c:v>
                </c:pt>
                <c:pt idx="3">
                  <c:v>1.2222222222222221</c:v>
                </c:pt>
                <c:pt idx="4">
                  <c:v>1.3670256835128416</c:v>
                </c:pt>
                <c:pt idx="5">
                  <c:v>1.3333333333333333</c:v>
                </c:pt>
                <c:pt idx="6">
                  <c:v>1.3333333333333333</c:v>
                </c:pt>
                <c:pt idx="7">
                  <c:v>1.3447432762836184</c:v>
                </c:pt>
                <c:pt idx="8">
                  <c:v>1.3333333333333333</c:v>
                </c:pt>
                <c:pt idx="9">
                  <c:v>1.2222222222222221</c:v>
                </c:pt>
                <c:pt idx="10">
                  <c:v>1.1111111111111109</c:v>
                </c:pt>
                <c:pt idx="11">
                  <c:v>1.1111111111111109</c:v>
                </c:pt>
                <c:pt idx="12">
                  <c:v>1.0142749812171299</c:v>
                </c:pt>
                <c:pt idx="13">
                  <c:v>1.1111111111111109</c:v>
                </c:pt>
                <c:pt idx="14">
                  <c:v>1.2222222222222221</c:v>
                </c:pt>
                <c:pt idx="15">
                  <c:v>1.1111111111111109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2-4AA6-AB78-FD4B5AE2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'!$AK$3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'!$AK$4:$AK$19</c:f>
              <c:numCache>
                <c:formatCode>0.00</c:formatCode>
                <c:ptCount val="16"/>
                <c:pt idx="0">
                  <c:v>1.2222222222222221</c:v>
                </c:pt>
                <c:pt idx="1">
                  <c:v>0.99999999999999989</c:v>
                </c:pt>
                <c:pt idx="2">
                  <c:v>1.2222222222222221</c:v>
                </c:pt>
                <c:pt idx="3">
                  <c:v>0.99999999999999989</c:v>
                </c:pt>
                <c:pt idx="4">
                  <c:v>1.3333333333333333</c:v>
                </c:pt>
                <c:pt idx="5">
                  <c:v>0.99999999999999989</c:v>
                </c:pt>
                <c:pt idx="6">
                  <c:v>0.99999999999999989</c:v>
                </c:pt>
                <c:pt idx="7">
                  <c:v>1.380368098159509</c:v>
                </c:pt>
                <c:pt idx="8">
                  <c:v>1.3333333333333333</c:v>
                </c:pt>
                <c:pt idx="9">
                  <c:v>1.3333333333333333</c:v>
                </c:pt>
                <c:pt idx="10">
                  <c:v>1.4778325123152707</c:v>
                </c:pt>
                <c:pt idx="11">
                  <c:v>0.99999999999999989</c:v>
                </c:pt>
                <c:pt idx="12">
                  <c:v>1.1111111111111109</c:v>
                </c:pt>
                <c:pt idx="13">
                  <c:v>1.1700468018720749</c:v>
                </c:pt>
                <c:pt idx="14">
                  <c:v>1.3333333333333333</c:v>
                </c:pt>
                <c:pt idx="15">
                  <c:v>1.2222222222222221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B-407F-BC1C-E3E36FD2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'!$AQ$3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'!$AQ$4:$AQ$19</c:f>
              <c:numCache>
                <c:formatCode>0.00</c:formatCode>
                <c:ptCount val="16"/>
                <c:pt idx="0">
                  <c:v>1.1111111111111109</c:v>
                </c:pt>
                <c:pt idx="1">
                  <c:v>1.3333333333333333</c:v>
                </c:pt>
                <c:pt idx="2">
                  <c:v>1.2222222222222221</c:v>
                </c:pt>
                <c:pt idx="3">
                  <c:v>1.1111111111111109</c:v>
                </c:pt>
                <c:pt idx="4">
                  <c:v>1.2222222222222221</c:v>
                </c:pt>
                <c:pt idx="5">
                  <c:v>1.2135922330097086</c:v>
                </c:pt>
                <c:pt idx="6">
                  <c:v>1.3333333333333333</c:v>
                </c:pt>
                <c:pt idx="7">
                  <c:v>1.2992125984251965</c:v>
                </c:pt>
                <c:pt idx="8">
                  <c:v>1.0904684975767365</c:v>
                </c:pt>
                <c:pt idx="9">
                  <c:v>1.3333333333333333</c:v>
                </c:pt>
                <c:pt idx="10">
                  <c:v>1.3333333333333333</c:v>
                </c:pt>
                <c:pt idx="11">
                  <c:v>1.2222222222222221</c:v>
                </c:pt>
                <c:pt idx="12">
                  <c:v>1.2222222222222221</c:v>
                </c:pt>
                <c:pt idx="13">
                  <c:v>0.99999999999999989</c:v>
                </c:pt>
                <c:pt idx="14">
                  <c:v>1.1111111111111109</c:v>
                </c:pt>
                <c:pt idx="15">
                  <c:v>1.1111111111111109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F-4719-9038-E6E9D6F74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'!$AW$3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'!$AW$4:$AW$19</c:f>
              <c:numCache>
                <c:formatCode>0.00</c:formatCode>
                <c:ptCount val="16"/>
                <c:pt idx="0">
                  <c:v>1.3333333333333333</c:v>
                </c:pt>
                <c:pt idx="1">
                  <c:v>1.3392857142857142</c:v>
                </c:pt>
                <c:pt idx="2">
                  <c:v>1.4054514480408855</c:v>
                </c:pt>
                <c:pt idx="3">
                  <c:v>1.4574898785425099</c:v>
                </c:pt>
                <c:pt idx="4">
                  <c:v>1.1111111111111109</c:v>
                </c:pt>
                <c:pt idx="5">
                  <c:v>0.99999999999999989</c:v>
                </c:pt>
                <c:pt idx="6">
                  <c:v>1.3333333333333333</c:v>
                </c:pt>
                <c:pt idx="7">
                  <c:v>1.1111111111111109</c:v>
                </c:pt>
                <c:pt idx="8">
                  <c:v>1.1111111111111109</c:v>
                </c:pt>
                <c:pt idx="9">
                  <c:v>1.1219147344801794</c:v>
                </c:pt>
                <c:pt idx="10">
                  <c:v>1.2222222222222221</c:v>
                </c:pt>
                <c:pt idx="11">
                  <c:v>1.3698630136986301</c:v>
                </c:pt>
                <c:pt idx="12">
                  <c:v>0.99999999999999989</c:v>
                </c:pt>
                <c:pt idx="13">
                  <c:v>1.3333333333333333</c:v>
                </c:pt>
                <c:pt idx="14">
                  <c:v>1.3814274750575593</c:v>
                </c:pt>
                <c:pt idx="15">
                  <c:v>1.2222222222222221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5-4A39-B268-2D9E85F03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'!$BC$3</c:f>
              <c:strCache>
                <c:ptCount val="1"/>
                <c:pt idx="0">
                  <c:v>Productivity (pcs/hour)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'!$BC$4:$BC$19</c:f>
              <c:numCache>
                <c:formatCode>0.00</c:formatCode>
                <c:ptCount val="16"/>
                <c:pt idx="0">
                  <c:v>1.1111111111111109</c:v>
                </c:pt>
                <c:pt idx="1">
                  <c:v>1.3333333333333333</c:v>
                </c:pt>
                <c:pt idx="2">
                  <c:v>1.2647554806070824</c:v>
                </c:pt>
                <c:pt idx="3">
                  <c:v>1.1111111111111109</c:v>
                </c:pt>
                <c:pt idx="4">
                  <c:v>1.2479201331114806</c:v>
                </c:pt>
                <c:pt idx="5">
                  <c:v>0.99999999999999989</c:v>
                </c:pt>
                <c:pt idx="6">
                  <c:v>1.1111111111111109</c:v>
                </c:pt>
                <c:pt idx="7">
                  <c:v>1.0588235294117645</c:v>
                </c:pt>
                <c:pt idx="8">
                  <c:v>1.3333333333333333</c:v>
                </c:pt>
                <c:pt idx="9">
                  <c:v>1.0188679245283017</c:v>
                </c:pt>
                <c:pt idx="10">
                  <c:v>1.2341062079281973</c:v>
                </c:pt>
                <c:pt idx="11">
                  <c:v>1.2692307692307689</c:v>
                </c:pt>
                <c:pt idx="12">
                  <c:v>1.1111111111111109</c:v>
                </c:pt>
                <c:pt idx="13">
                  <c:v>0.99999999999999989</c:v>
                </c:pt>
                <c:pt idx="14">
                  <c:v>1.4423076923076918</c:v>
                </c:pt>
                <c:pt idx="15">
                  <c:v>1.3333333333333333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0-4D26-A721-91F39833D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'!$E$3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'!$E$4:$E$19</c:f>
              <c:numCache>
                <c:formatCode>[h];@</c:formatCode>
                <c:ptCount val="16"/>
                <c:pt idx="0">
                  <c:v>0.35416666666666669</c:v>
                </c:pt>
                <c:pt idx="1">
                  <c:v>0.37500000000000006</c:v>
                </c:pt>
                <c:pt idx="2">
                  <c:v>0.37500000000000006</c:v>
                </c:pt>
                <c:pt idx="3">
                  <c:v>0.37500000000000006</c:v>
                </c:pt>
                <c:pt idx="4">
                  <c:v>0.37500000000000006</c:v>
                </c:pt>
                <c:pt idx="5">
                  <c:v>0.37500000000000006</c:v>
                </c:pt>
                <c:pt idx="6">
                  <c:v>0.37500000000000006</c:v>
                </c:pt>
                <c:pt idx="7">
                  <c:v>0.37500000000000006</c:v>
                </c:pt>
                <c:pt idx="8">
                  <c:v>0.37500000000000006</c:v>
                </c:pt>
                <c:pt idx="9">
                  <c:v>0.35527777777777786</c:v>
                </c:pt>
                <c:pt idx="10">
                  <c:v>0.37500000000000006</c:v>
                </c:pt>
                <c:pt idx="11">
                  <c:v>0.33416666666666672</c:v>
                </c:pt>
                <c:pt idx="12">
                  <c:v>0.37500000000000006</c:v>
                </c:pt>
                <c:pt idx="13">
                  <c:v>0.36694444444444452</c:v>
                </c:pt>
                <c:pt idx="14">
                  <c:v>0.37500000000000006</c:v>
                </c:pt>
                <c:pt idx="15">
                  <c:v>0.37500000000000006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D-4B8E-9253-BEBC86A05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'!$K$3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'!$K$4:$K$19</c:f>
              <c:numCache>
                <c:formatCode>[h];@</c:formatCode>
                <c:ptCount val="16"/>
                <c:pt idx="0">
                  <c:v>0.36111111111111116</c:v>
                </c:pt>
                <c:pt idx="1">
                  <c:v>0.37500000000000006</c:v>
                </c:pt>
                <c:pt idx="2">
                  <c:v>0.37500000000000006</c:v>
                </c:pt>
                <c:pt idx="3">
                  <c:v>0.37500000000000006</c:v>
                </c:pt>
                <c:pt idx="4">
                  <c:v>0.37500000000000006</c:v>
                </c:pt>
                <c:pt idx="5">
                  <c:v>0.37500000000000006</c:v>
                </c:pt>
                <c:pt idx="6">
                  <c:v>0.37500000000000006</c:v>
                </c:pt>
                <c:pt idx="7">
                  <c:v>0.37500000000000006</c:v>
                </c:pt>
                <c:pt idx="8">
                  <c:v>0.37500000000000006</c:v>
                </c:pt>
                <c:pt idx="9">
                  <c:v>0.37500000000000006</c:v>
                </c:pt>
                <c:pt idx="10">
                  <c:v>0.37500000000000006</c:v>
                </c:pt>
                <c:pt idx="11">
                  <c:v>0.37500000000000006</c:v>
                </c:pt>
                <c:pt idx="12">
                  <c:v>0.37500000000000006</c:v>
                </c:pt>
                <c:pt idx="13">
                  <c:v>0.37500000000000006</c:v>
                </c:pt>
                <c:pt idx="14">
                  <c:v>0.33944444444444449</c:v>
                </c:pt>
                <c:pt idx="15">
                  <c:v>0.37500000000000006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9-4814-9D2C-EFB858462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'!$Q$3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'!$Q$4:$Q$19</c:f>
              <c:numCache>
                <c:formatCode>[h];@</c:formatCode>
                <c:ptCount val="16"/>
                <c:pt idx="0">
                  <c:v>0.37500000000000006</c:v>
                </c:pt>
                <c:pt idx="1">
                  <c:v>0.37500000000000006</c:v>
                </c:pt>
                <c:pt idx="2">
                  <c:v>0.37500000000000006</c:v>
                </c:pt>
                <c:pt idx="3">
                  <c:v>0.37500000000000006</c:v>
                </c:pt>
                <c:pt idx="4">
                  <c:v>0.37500000000000006</c:v>
                </c:pt>
                <c:pt idx="5">
                  <c:v>0.37500000000000006</c:v>
                </c:pt>
                <c:pt idx="6">
                  <c:v>0.35750000000000004</c:v>
                </c:pt>
                <c:pt idx="7">
                  <c:v>0.37500000000000006</c:v>
                </c:pt>
                <c:pt idx="8">
                  <c:v>0.37500000000000006</c:v>
                </c:pt>
                <c:pt idx="9">
                  <c:v>0.37500000000000006</c:v>
                </c:pt>
                <c:pt idx="10">
                  <c:v>0.37500000000000006</c:v>
                </c:pt>
                <c:pt idx="11">
                  <c:v>0.37500000000000006</c:v>
                </c:pt>
                <c:pt idx="12">
                  <c:v>0.37500000000000006</c:v>
                </c:pt>
                <c:pt idx="13">
                  <c:v>0.37500000000000006</c:v>
                </c:pt>
                <c:pt idx="14">
                  <c:v>0.37500000000000006</c:v>
                </c:pt>
                <c:pt idx="15">
                  <c:v>0.3716666666666667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8-4568-B743-667E257EF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'!$W$3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'!$W$4:$W$19</c:f>
              <c:numCache>
                <c:formatCode>[h];@</c:formatCode>
                <c:ptCount val="16"/>
                <c:pt idx="0">
                  <c:v>0.37500000000000006</c:v>
                </c:pt>
                <c:pt idx="1">
                  <c:v>0.35750000000000004</c:v>
                </c:pt>
                <c:pt idx="2">
                  <c:v>0.37500000000000006</c:v>
                </c:pt>
                <c:pt idx="3">
                  <c:v>0.37500000000000006</c:v>
                </c:pt>
                <c:pt idx="4">
                  <c:v>0.37500000000000006</c:v>
                </c:pt>
                <c:pt idx="5">
                  <c:v>0.36500000000000005</c:v>
                </c:pt>
                <c:pt idx="6">
                  <c:v>0.37500000000000006</c:v>
                </c:pt>
                <c:pt idx="7">
                  <c:v>0.37500000000000006</c:v>
                </c:pt>
                <c:pt idx="8">
                  <c:v>0.37500000000000006</c:v>
                </c:pt>
                <c:pt idx="9">
                  <c:v>0.37500000000000006</c:v>
                </c:pt>
                <c:pt idx="10">
                  <c:v>0.37500000000000006</c:v>
                </c:pt>
                <c:pt idx="11">
                  <c:v>0.37500000000000006</c:v>
                </c:pt>
                <c:pt idx="12">
                  <c:v>0.37500000000000006</c:v>
                </c:pt>
                <c:pt idx="13">
                  <c:v>0.37500000000000006</c:v>
                </c:pt>
                <c:pt idx="14">
                  <c:v>0.35111111111111115</c:v>
                </c:pt>
                <c:pt idx="15">
                  <c:v>0.37500000000000006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E-469F-94CF-0955E4B68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'!$AC$3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'!$AC$4:$AC$19</c:f>
              <c:numCache>
                <c:formatCode>[h];@</c:formatCode>
                <c:ptCount val="16"/>
                <c:pt idx="0">
                  <c:v>0.37500000000000006</c:v>
                </c:pt>
                <c:pt idx="1">
                  <c:v>0.37277777777777782</c:v>
                </c:pt>
                <c:pt idx="2">
                  <c:v>0.37500000000000006</c:v>
                </c:pt>
                <c:pt idx="3">
                  <c:v>0.37500000000000006</c:v>
                </c:pt>
                <c:pt idx="4">
                  <c:v>0.33527777777777784</c:v>
                </c:pt>
                <c:pt idx="5">
                  <c:v>0.37500000000000006</c:v>
                </c:pt>
                <c:pt idx="6">
                  <c:v>0.37500000000000006</c:v>
                </c:pt>
                <c:pt idx="7">
                  <c:v>0.34083333333333338</c:v>
                </c:pt>
                <c:pt idx="8">
                  <c:v>0.37500000000000006</c:v>
                </c:pt>
                <c:pt idx="9">
                  <c:v>0.37500000000000006</c:v>
                </c:pt>
                <c:pt idx="10">
                  <c:v>0.37500000000000006</c:v>
                </c:pt>
                <c:pt idx="11">
                  <c:v>0.37500000000000006</c:v>
                </c:pt>
                <c:pt idx="12">
                  <c:v>0.36972222222222229</c:v>
                </c:pt>
                <c:pt idx="13">
                  <c:v>0.37500000000000006</c:v>
                </c:pt>
                <c:pt idx="14">
                  <c:v>0.37500000000000006</c:v>
                </c:pt>
                <c:pt idx="15">
                  <c:v>0.37500000000000006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A-4CAE-9E8F-01F528CF5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'!$AI$3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'!$AI$4:$AI$19</c:f>
              <c:numCache>
                <c:formatCode>[h];@</c:formatCode>
                <c:ptCount val="16"/>
                <c:pt idx="0">
                  <c:v>0.37500000000000006</c:v>
                </c:pt>
                <c:pt idx="1">
                  <c:v>0.37500000000000006</c:v>
                </c:pt>
                <c:pt idx="2">
                  <c:v>0.37500000000000006</c:v>
                </c:pt>
                <c:pt idx="3">
                  <c:v>0.37500000000000006</c:v>
                </c:pt>
                <c:pt idx="4">
                  <c:v>0.37500000000000006</c:v>
                </c:pt>
                <c:pt idx="5">
                  <c:v>0.37500000000000006</c:v>
                </c:pt>
                <c:pt idx="6">
                  <c:v>0.37500000000000006</c:v>
                </c:pt>
                <c:pt idx="7">
                  <c:v>0.36222222222222228</c:v>
                </c:pt>
                <c:pt idx="8">
                  <c:v>0.37500000000000006</c:v>
                </c:pt>
                <c:pt idx="9">
                  <c:v>0.37500000000000006</c:v>
                </c:pt>
                <c:pt idx="10">
                  <c:v>0.33833333333333337</c:v>
                </c:pt>
                <c:pt idx="11">
                  <c:v>0.37500000000000006</c:v>
                </c:pt>
                <c:pt idx="12">
                  <c:v>0.37500000000000006</c:v>
                </c:pt>
                <c:pt idx="13">
                  <c:v>0.35611111111111116</c:v>
                </c:pt>
                <c:pt idx="14">
                  <c:v>0.37500000000000006</c:v>
                </c:pt>
                <c:pt idx="15">
                  <c:v>0.37500000000000006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7-49A6-9B0D-76D67C19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'!$AO$3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'!$AO$4:$AO$19</c:f>
              <c:numCache>
                <c:formatCode>[h];@</c:formatCode>
                <c:ptCount val="16"/>
                <c:pt idx="0">
                  <c:v>0.37500000000000006</c:v>
                </c:pt>
                <c:pt idx="1">
                  <c:v>0.37500000000000006</c:v>
                </c:pt>
                <c:pt idx="2">
                  <c:v>0.37500000000000006</c:v>
                </c:pt>
                <c:pt idx="3">
                  <c:v>0.37500000000000006</c:v>
                </c:pt>
                <c:pt idx="4">
                  <c:v>0.37500000000000006</c:v>
                </c:pt>
                <c:pt idx="5">
                  <c:v>0.34333333333333338</c:v>
                </c:pt>
                <c:pt idx="6">
                  <c:v>0.37500000000000006</c:v>
                </c:pt>
                <c:pt idx="7">
                  <c:v>0.35277777777777786</c:v>
                </c:pt>
                <c:pt idx="8">
                  <c:v>0.34388888888888897</c:v>
                </c:pt>
                <c:pt idx="9">
                  <c:v>0.37500000000000006</c:v>
                </c:pt>
                <c:pt idx="10">
                  <c:v>0.37500000000000006</c:v>
                </c:pt>
                <c:pt idx="11">
                  <c:v>0.37500000000000006</c:v>
                </c:pt>
                <c:pt idx="12">
                  <c:v>0.37500000000000006</c:v>
                </c:pt>
                <c:pt idx="13">
                  <c:v>0.37500000000000006</c:v>
                </c:pt>
                <c:pt idx="14">
                  <c:v>0.37500000000000006</c:v>
                </c:pt>
                <c:pt idx="15">
                  <c:v>0.37500000000000006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1-4F11-A78C-5956A1B0F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'!$AU$3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'!$AU$4:$AU$19</c:f>
              <c:numCache>
                <c:formatCode>[h];@</c:formatCode>
                <c:ptCount val="16"/>
                <c:pt idx="0">
                  <c:v>0.37500000000000006</c:v>
                </c:pt>
                <c:pt idx="1">
                  <c:v>0.31111111111111117</c:v>
                </c:pt>
                <c:pt idx="2">
                  <c:v>0.32611111111111118</c:v>
                </c:pt>
                <c:pt idx="3">
                  <c:v>0.34305555555555561</c:v>
                </c:pt>
                <c:pt idx="4">
                  <c:v>0.37500000000000006</c:v>
                </c:pt>
                <c:pt idx="5">
                  <c:v>0.37500000000000006</c:v>
                </c:pt>
                <c:pt idx="6">
                  <c:v>0.37500000000000006</c:v>
                </c:pt>
                <c:pt idx="7">
                  <c:v>0.37500000000000006</c:v>
                </c:pt>
                <c:pt idx="8">
                  <c:v>0.37500000000000006</c:v>
                </c:pt>
                <c:pt idx="9">
                  <c:v>0.37138888888888894</c:v>
                </c:pt>
                <c:pt idx="10">
                  <c:v>0.37500000000000006</c:v>
                </c:pt>
                <c:pt idx="11">
                  <c:v>0.36500000000000005</c:v>
                </c:pt>
                <c:pt idx="12">
                  <c:v>0.37500000000000006</c:v>
                </c:pt>
                <c:pt idx="13">
                  <c:v>0.37500000000000006</c:v>
                </c:pt>
                <c:pt idx="14">
                  <c:v>0.36194444444444451</c:v>
                </c:pt>
                <c:pt idx="15">
                  <c:v>0.37500000000000006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A5-4E31-A6C1-494E252E2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'!$BA$3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'!$BA$4:$BA$19</c:f>
              <c:numCache>
                <c:formatCode>[h];@</c:formatCode>
                <c:ptCount val="16"/>
                <c:pt idx="0">
                  <c:v>0.37500000000000006</c:v>
                </c:pt>
                <c:pt idx="1">
                  <c:v>0.37500000000000006</c:v>
                </c:pt>
                <c:pt idx="2">
                  <c:v>0.32944444444444448</c:v>
                </c:pt>
                <c:pt idx="3">
                  <c:v>0.37500000000000006</c:v>
                </c:pt>
                <c:pt idx="4">
                  <c:v>0.33388888888888896</c:v>
                </c:pt>
                <c:pt idx="5">
                  <c:v>0.37500000000000006</c:v>
                </c:pt>
                <c:pt idx="6">
                  <c:v>0.37500000000000006</c:v>
                </c:pt>
                <c:pt idx="7">
                  <c:v>0.35416666666666674</c:v>
                </c:pt>
                <c:pt idx="8">
                  <c:v>0.37500000000000006</c:v>
                </c:pt>
                <c:pt idx="9">
                  <c:v>0.36805555555555564</c:v>
                </c:pt>
                <c:pt idx="10">
                  <c:v>0.37138888888888894</c:v>
                </c:pt>
                <c:pt idx="11">
                  <c:v>0.36111111111111116</c:v>
                </c:pt>
                <c:pt idx="12">
                  <c:v>0.37500000000000006</c:v>
                </c:pt>
                <c:pt idx="13">
                  <c:v>0.37500000000000006</c:v>
                </c:pt>
                <c:pt idx="14">
                  <c:v>0.34666666666666673</c:v>
                </c:pt>
                <c:pt idx="15">
                  <c:v>0.37500000000000006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0-4F2F-92BC-5F0B9805E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'!$D$3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'!$D$4:$D$19</c:f>
              <c:numCache>
                <c:formatCode>[m];@</c:formatCode>
                <c:ptCount val="16"/>
                <c:pt idx="0">
                  <c:v>2.083333333333337E-2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1.9722222222222197E-2</c:v>
                </c:pt>
                <c:pt idx="10">
                  <c:v>0</c:v>
                </c:pt>
                <c:pt idx="11">
                  <c:v>4.0833333333333333E-2</c:v>
                </c:pt>
                <c:pt idx="12">
                  <c:v>0</c:v>
                </c:pt>
                <c:pt idx="13">
                  <c:v>8.055555555555538E-3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2-4C07-9740-C0EAB1776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'!$J$3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'!$J$4:$J$19</c:f>
              <c:numCache>
                <c:formatCode>[m];@</c:formatCode>
                <c:ptCount val="16"/>
                <c:pt idx="0">
                  <c:v>1.3888888888888895E-2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3.5555555555555562E-2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4-41DB-B9A4-B167A01A8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'!$P$3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'!$P$4:$P$19</c:f>
              <c:numCache>
                <c:formatCode>[m];@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1.7500000000000016E-2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3.3333333333333548E-3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5-4981-BCF6-87006D2CC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'!$V$3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'!$V$4:$V$19</c:f>
              <c:numCache>
                <c:formatCode>[m];@</c:formatCode>
                <c:ptCount val="16"/>
                <c:pt idx="0">
                  <c:v>0</c:v>
                </c:pt>
                <c:pt idx="1">
                  <c:v>1.7500000000000016E-2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1.0000000000000009E-2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2.3888888888888904E-2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A-4910-8A3D-99FA00DAE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'!$AB$3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'!$AB$4:$AB$19</c:f>
              <c:numCache>
                <c:formatCode>[m];@</c:formatCode>
                <c:ptCount val="16"/>
                <c:pt idx="0">
                  <c:v>0</c:v>
                </c:pt>
                <c:pt idx="1">
                  <c:v>2.2222222222222365E-3</c:v>
                </c:pt>
                <c:pt idx="2">
                  <c:v>0</c:v>
                </c:pt>
                <c:pt idx="3">
                  <c:v>0</c:v>
                </c:pt>
                <c:pt idx="4">
                  <c:v>3.9722222222222214E-2</c:v>
                </c:pt>
                <c:pt idx="5">
                  <c:v>0</c:v>
                </c:pt>
                <c:pt idx="6">
                  <c:v>0</c:v>
                </c:pt>
                <c:pt idx="7">
                  <c:v>3.4166666666666679E-2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5.2777777777777701E-3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ED-42FF-BA71-8C69C87B7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'!$AH$3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'!$AH$4:$AH$19</c:f>
              <c:numCache>
                <c:formatCode>[m];@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1.2777777777777777E-2</c:v>
                </c:pt>
                <c:pt idx="8">
                  <c:v>0</c:v>
                </c:pt>
                <c:pt idx="9">
                  <c:v>0</c:v>
                </c:pt>
                <c:pt idx="10">
                  <c:v>3.6666666666666681E-2</c:v>
                </c:pt>
                <c:pt idx="11">
                  <c:v>0</c:v>
                </c:pt>
                <c:pt idx="12">
                  <c:v>0</c:v>
                </c:pt>
                <c:pt idx="13">
                  <c:v>1.8888888888888899E-2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C-4737-BDF8-AC1DC853F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'!$AN$3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'!$AN$4:$AN$19</c:f>
              <c:numCache>
                <c:formatCode>[m];@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3.1666666666666676E-2</c:v>
                </c:pt>
                <c:pt idx="6">
                  <c:v>0</c:v>
                </c:pt>
                <c:pt idx="7">
                  <c:v>2.2222222222222199E-2</c:v>
                </c:pt>
                <c:pt idx="8">
                  <c:v>3.1111111111111089E-2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4-4B16-AB44-A979656EB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'!$AT$3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'!$AT$4:$AT$19</c:f>
              <c:numCache>
                <c:formatCode>[m];@</c:formatCode>
                <c:ptCount val="16"/>
                <c:pt idx="0">
                  <c:v>0</c:v>
                </c:pt>
                <c:pt idx="1">
                  <c:v>6.3888888888888884E-2</c:v>
                </c:pt>
                <c:pt idx="2">
                  <c:v>4.8888888888888871E-2</c:v>
                </c:pt>
                <c:pt idx="3">
                  <c:v>3.1944444444444442E-2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3.6111111111111205E-3</c:v>
                </c:pt>
                <c:pt idx="10">
                  <c:v>0</c:v>
                </c:pt>
                <c:pt idx="11">
                  <c:v>1.0000000000000009E-2</c:v>
                </c:pt>
                <c:pt idx="12">
                  <c:v>0</c:v>
                </c:pt>
                <c:pt idx="13">
                  <c:v>0</c:v>
                </c:pt>
                <c:pt idx="14">
                  <c:v>1.3055555555555542E-2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F-499E-9310-A57D1E98A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Performance Monitoring '!$AZ$3</c:f>
              <c:strCache>
                <c:ptCount val="1"/>
                <c:pt idx="0">
                  <c:v>Downtime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Performance Monitoring '!$A$4:$A$19</c:f>
              <c:numCache>
                <c:formatCode>m/d/yyyy</c:formatCode>
                <c:ptCount val="16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45908</c:v>
                </c:pt>
                <c:pt idx="7">
                  <c:v>45909</c:v>
                </c:pt>
                <c:pt idx="8">
                  <c:v>45910</c:v>
                </c:pt>
                <c:pt idx="9">
                  <c:v>45911</c:v>
                </c:pt>
                <c:pt idx="10">
                  <c:v>45912</c:v>
                </c:pt>
                <c:pt idx="11">
                  <c:v>45913</c:v>
                </c:pt>
                <c:pt idx="12">
                  <c:v>45915</c:v>
                </c:pt>
                <c:pt idx="13">
                  <c:v>45916</c:v>
                </c:pt>
                <c:pt idx="14">
                  <c:v>45917</c:v>
                </c:pt>
                <c:pt idx="15">
                  <c:v>45918</c:v>
                </c:pt>
              </c:numCache>
            </c:numRef>
          </c:cat>
          <c:val>
            <c:numRef>
              <c:f>'Daily Performance Monitoring '!$AZ$4:$AZ$19</c:f>
              <c:numCache>
                <c:formatCode>[m];@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4.5555555555555571E-2</c:v>
                </c:pt>
                <c:pt idx="3">
                  <c:v>0</c:v>
                </c:pt>
                <c:pt idx="4">
                  <c:v>4.1111111111111098E-2</c:v>
                </c:pt>
                <c:pt idx="5">
                  <c:v>0</c:v>
                </c:pt>
                <c:pt idx="6">
                  <c:v>0</c:v>
                </c:pt>
                <c:pt idx="7">
                  <c:v>2.0833333333333315E-2</c:v>
                </c:pt>
                <c:pt idx="8">
                  <c:v>0</c:v>
                </c:pt>
                <c:pt idx="9">
                  <c:v>6.9444444444444198E-3</c:v>
                </c:pt>
                <c:pt idx="10">
                  <c:v>3.6111111111111205E-3</c:v>
                </c:pt>
                <c:pt idx="11">
                  <c:v>1.3888888888888895E-2</c:v>
                </c:pt>
                <c:pt idx="12">
                  <c:v>0</c:v>
                </c:pt>
                <c:pt idx="13">
                  <c:v>0</c:v>
                </c:pt>
                <c:pt idx="14">
                  <c:v>2.8333333333333321E-2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5-45EC-B838-D2EA02A38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537583"/>
        <c:axId val="389555343"/>
      </c:lineChart>
      <c:dateAx>
        <c:axId val="389537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55343"/>
        <c:crosses val="autoZero"/>
        <c:auto val="1"/>
        <c:lblOffset val="100"/>
        <c:baseTimeUnit val="days"/>
      </c:dateAx>
      <c:valAx>
        <c:axId val="389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m]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3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26" Type="http://schemas.openxmlformats.org/officeDocument/2006/relationships/chart" Target="../charts/chart32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5" Type="http://schemas.openxmlformats.org/officeDocument/2006/relationships/chart" Target="../charts/chart31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24" Type="http://schemas.openxmlformats.org/officeDocument/2006/relationships/chart" Target="../charts/chart30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23" Type="http://schemas.openxmlformats.org/officeDocument/2006/relationships/chart" Target="../charts/chart29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Relationship Id="rId22" Type="http://schemas.openxmlformats.org/officeDocument/2006/relationships/chart" Target="../charts/chart28.xml"/><Relationship Id="rId27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5</xdr:row>
      <xdr:rowOff>63500</xdr:rowOff>
    </xdr:from>
    <xdr:to>
      <xdr:col>5</xdr:col>
      <xdr:colOff>571500</xdr:colOff>
      <xdr:row>18</xdr:row>
      <xdr:rowOff>110350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5DFF0-6F6A-4CAF-8A30-0FB8C0810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595515</xdr:colOff>
      <xdr:row>5</xdr:row>
      <xdr:rowOff>63500</xdr:rowOff>
    </xdr:from>
    <xdr:to>
      <xdr:col>11</xdr:col>
      <xdr:colOff>417715</xdr:colOff>
      <xdr:row>18</xdr:row>
      <xdr:rowOff>110350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861870-D615-42FE-83E8-EC3153A58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406893</xdr:colOff>
      <xdr:row>5</xdr:row>
      <xdr:rowOff>76200</xdr:rowOff>
    </xdr:from>
    <xdr:to>
      <xdr:col>17</xdr:col>
      <xdr:colOff>229750</xdr:colOff>
      <xdr:row>18</xdr:row>
      <xdr:rowOff>122145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4AB07D-2B0A-4E9A-80DA-CE6899C0B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590550</xdr:colOff>
      <xdr:row>22</xdr:row>
      <xdr:rowOff>19050</xdr:rowOff>
    </xdr:from>
    <xdr:to>
      <xdr:col>11</xdr:col>
      <xdr:colOff>412750</xdr:colOff>
      <xdr:row>35</xdr:row>
      <xdr:rowOff>65900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4E5F5D-5970-4DF0-8905-229C0ECDE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438150</xdr:colOff>
      <xdr:row>22</xdr:row>
      <xdr:rowOff>19050</xdr:rowOff>
    </xdr:from>
    <xdr:to>
      <xdr:col>17</xdr:col>
      <xdr:colOff>260350</xdr:colOff>
      <xdr:row>35</xdr:row>
      <xdr:rowOff>65900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395B35-8D84-48F9-AAC3-7062E09B3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139700</xdr:colOff>
      <xdr:row>22</xdr:row>
      <xdr:rowOff>25400</xdr:rowOff>
    </xdr:from>
    <xdr:to>
      <xdr:col>5</xdr:col>
      <xdr:colOff>572157</xdr:colOff>
      <xdr:row>35</xdr:row>
      <xdr:rowOff>71345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3FF382-F168-45DD-B6B3-D6F554224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50321</xdr:colOff>
      <xdr:row>22</xdr:row>
      <xdr:rowOff>155994</xdr:rowOff>
    </xdr:from>
    <xdr:to>
      <xdr:col>6</xdr:col>
      <xdr:colOff>862642</xdr:colOff>
      <xdr:row>36</xdr:row>
      <xdr:rowOff>95849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7B27B-1679-6A7E-E97A-56B10B2F8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71886</xdr:colOff>
      <xdr:row>22</xdr:row>
      <xdr:rowOff>155755</xdr:rowOff>
    </xdr:from>
    <xdr:to>
      <xdr:col>12</xdr:col>
      <xdr:colOff>872225</xdr:colOff>
      <xdr:row>36</xdr:row>
      <xdr:rowOff>95610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3F89-B0AF-4A67-8251-2937A098C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23</xdr:row>
      <xdr:rowOff>0</xdr:rowOff>
    </xdr:from>
    <xdr:to>
      <xdr:col>18</xdr:col>
      <xdr:colOff>800339</xdr:colOff>
      <xdr:row>36</xdr:row>
      <xdr:rowOff>119572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AA6A12-CE89-4CB5-88EC-01DB3A8F9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23</xdr:row>
      <xdr:rowOff>0</xdr:rowOff>
    </xdr:from>
    <xdr:to>
      <xdr:col>24</xdr:col>
      <xdr:colOff>800339</xdr:colOff>
      <xdr:row>36</xdr:row>
      <xdr:rowOff>119572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1629FF-6DE8-4709-8A7C-209623341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23</xdr:row>
      <xdr:rowOff>0</xdr:rowOff>
    </xdr:from>
    <xdr:to>
      <xdr:col>30</xdr:col>
      <xdr:colOff>800339</xdr:colOff>
      <xdr:row>36</xdr:row>
      <xdr:rowOff>119572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B35CC8-1213-4DF5-9B13-1EB53F6D3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0</xdr:colOff>
      <xdr:row>23</xdr:row>
      <xdr:rowOff>0</xdr:rowOff>
    </xdr:from>
    <xdr:to>
      <xdr:col>36</xdr:col>
      <xdr:colOff>800339</xdr:colOff>
      <xdr:row>36</xdr:row>
      <xdr:rowOff>119572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6F01F0-FAA1-4A81-95C6-814608A9E4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0</xdr:colOff>
      <xdr:row>23</xdr:row>
      <xdr:rowOff>0</xdr:rowOff>
    </xdr:from>
    <xdr:to>
      <xdr:col>42</xdr:col>
      <xdr:colOff>800339</xdr:colOff>
      <xdr:row>36</xdr:row>
      <xdr:rowOff>119572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57C8A6A-3109-4D0D-86B9-3FDA08DF2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0</xdr:colOff>
      <xdr:row>23</xdr:row>
      <xdr:rowOff>0</xdr:rowOff>
    </xdr:from>
    <xdr:to>
      <xdr:col>48</xdr:col>
      <xdr:colOff>800339</xdr:colOff>
      <xdr:row>36</xdr:row>
      <xdr:rowOff>119572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CF3D5E-A4EC-4352-990E-024167635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0</xdr:colOff>
      <xdr:row>23</xdr:row>
      <xdr:rowOff>0</xdr:rowOff>
    </xdr:from>
    <xdr:to>
      <xdr:col>54</xdr:col>
      <xdr:colOff>800339</xdr:colOff>
      <xdr:row>36</xdr:row>
      <xdr:rowOff>119572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084BD51-4779-47BC-9A3F-1E9B1DC50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62255</xdr:colOff>
      <xdr:row>37</xdr:row>
      <xdr:rowOff>161863</xdr:rowOff>
    </xdr:from>
    <xdr:to>
      <xdr:col>6</xdr:col>
      <xdr:colOff>874576</xdr:colOff>
      <xdr:row>51</xdr:row>
      <xdr:rowOff>101718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2353135-4283-429C-961C-39AE90E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12</xdr:col>
      <xdr:colOff>792782</xdr:colOff>
      <xdr:row>51</xdr:row>
      <xdr:rowOff>125470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F24CBA5-8CBB-444F-B650-915A4A3FC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38</xdr:row>
      <xdr:rowOff>0</xdr:rowOff>
    </xdr:from>
    <xdr:to>
      <xdr:col>18</xdr:col>
      <xdr:colOff>792782</xdr:colOff>
      <xdr:row>51</xdr:row>
      <xdr:rowOff>125470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1884FED-F7C2-4805-85A2-2730591F0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0</xdr:colOff>
      <xdr:row>38</xdr:row>
      <xdr:rowOff>0</xdr:rowOff>
    </xdr:from>
    <xdr:to>
      <xdr:col>24</xdr:col>
      <xdr:colOff>792782</xdr:colOff>
      <xdr:row>51</xdr:row>
      <xdr:rowOff>125470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A9CB454-ACF2-4929-943E-3124AF683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0</xdr:colOff>
      <xdr:row>38</xdr:row>
      <xdr:rowOff>0</xdr:rowOff>
    </xdr:from>
    <xdr:to>
      <xdr:col>30</xdr:col>
      <xdr:colOff>792782</xdr:colOff>
      <xdr:row>51</xdr:row>
      <xdr:rowOff>125470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167D051-3CCC-4CD1-AD33-E47A8A9C9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0</xdr:colOff>
      <xdr:row>38</xdr:row>
      <xdr:rowOff>0</xdr:rowOff>
    </xdr:from>
    <xdr:to>
      <xdr:col>36</xdr:col>
      <xdr:colOff>792782</xdr:colOff>
      <xdr:row>51</xdr:row>
      <xdr:rowOff>125470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6607E53-1FC8-4047-9220-F5E8CDCF4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0</xdr:colOff>
      <xdr:row>38</xdr:row>
      <xdr:rowOff>0</xdr:rowOff>
    </xdr:from>
    <xdr:to>
      <xdr:col>42</xdr:col>
      <xdr:colOff>792782</xdr:colOff>
      <xdr:row>51</xdr:row>
      <xdr:rowOff>125470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5D7A2B7-08A5-4153-8EF7-B8DC6EAD4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43</xdr:col>
      <xdr:colOff>0</xdr:colOff>
      <xdr:row>38</xdr:row>
      <xdr:rowOff>0</xdr:rowOff>
    </xdr:from>
    <xdr:to>
      <xdr:col>48</xdr:col>
      <xdr:colOff>792782</xdr:colOff>
      <xdr:row>51</xdr:row>
      <xdr:rowOff>125470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96B7D8A-1319-4639-AADB-BC9D4B610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49</xdr:col>
      <xdr:colOff>0</xdr:colOff>
      <xdr:row>38</xdr:row>
      <xdr:rowOff>0</xdr:rowOff>
    </xdr:from>
    <xdr:to>
      <xdr:col>54</xdr:col>
      <xdr:colOff>792782</xdr:colOff>
      <xdr:row>51</xdr:row>
      <xdr:rowOff>125470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7CB9317-5689-4F1B-AC1E-D9E8A535A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68383</xdr:colOff>
      <xdr:row>53</xdr:row>
      <xdr:rowOff>0</xdr:rowOff>
    </xdr:from>
    <xdr:to>
      <xdr:col>6</xdr:col>
      <xdr:colOff>880704</xdr:colOff>
      <xdr:row>66</xdr:row>
      <xdr:rowOff>125470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EBD3ECE-E348-4760-A06D-E3F7CF09D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0</xdr:colOff>
      <xdr:row>53</xdr:row>
      <xdr:rowOff>0</xdr:rowOff>
    </xdr:from>
    <xdr:to>
      <xdr:col>12</xdr:col>
      <xdr:colOff>792782</xdr:colOff>
      <xdr:row>66</xdr:row>
      <xdr:rowOff>125470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5323FD4-D815-451E-855F-9C1458EC7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</xdr:col>
      <xdr:colOff>48846</xdr:colOff>
      <xdr:row>53</xdr:row>
      <xdr:rowOff>39077</xdr:rowOff>
    </xdr:from>
    <xdr:to>
      <xdr:col>18</xdr:col>
      <xdr:colOff>841628</xdr:colOff>
      <xdr:row>66</xdr:row>
      <xdr:rowOff>164547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FEB1A23-EE92-467F-9793-DA1F033F98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</xdr:col>
      <xdr:colOff>0</xdr:colOff>
      <xdr:row>53</xdr:row>
      <xdr:rowOff>0</xdr:rowOff>
    </xdr:from>
    <xdr:to>
      <xdr:col>24</xdr:col>
      <xdr:colOff>792782</xdr:colOff>
      <xdr:row>66</xdr:row>
      <xdr:rowOff>125470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8814B22-A1A3-4300-84E6-C9EF07D50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25</xdr:col>
      <xdr:colOff>0</xdr:colOff>
      <xdr:row>53</xdr:row>
      <xdr:rowOff>0</xdr:rowOff>
    </xdr:from>
    <xdr:to>
      <xdr:col>30</xdr:col>
      <xdr:colOff>792782</xdr:colOff>
      <xdr:row>66</xdr:row>
      <xdr:rowOff>125470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EAF8B45-D76E-47FD-8958-04D4C8523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31</xdr:col>
      <xdr:colOff>0</xdr:colOff>
      <xdr:row>53</xdr:row>
      <xdr:rowOff>0</xdr:rowOff>
    </xdr:from>
    <xdr:to>
      <xdr:col>36</xdr:col>
      <xdr:colOff>792782</xdr:colOff>
      <xdr:row>66</xdr:row>
      <xdr:rowOff>125470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176A646-607C-4F91-B464-AC4FD7621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37</xdr:col>
      <xdr:colOff>0</xdr:colOff>
      <xdr:row>53</xdr:row>
      <xdr:rowOff>0</xdr:rowOff>
    </xdr:from>
    <xdr:to>
      <xdr:col>42</xdr:col>
      <xdr:colOff>792782</xdr:colOff>
      <xdr:row>66</xdr:row>
      <xdr:rowOff>125470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1812220-E4FA-48B5-8135-18D5299E8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43</xdr:col>
      <xdr:colOff>0</xdr:colOff>
      <xdr:row>53</xdr:row>
      <xdr:rowOff>0</xdr:rowOff>
    </xdr:from>
    <xdr:to>
      <xdr:col>48</xdr:col>
      <xdr:colOff>792782</xdr:colOff>
      <xdr:row>66</xdr:row>
      <xdr:rowOff>125470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81235A4-900A-45FB-85D0-A57BD30BC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49</xdr:col>
      <xdr:colOff>0</xdr:colOff>
      <xdr:row>53</xdr:row>
      <xdr:rowOff>0</xdr:rowOff>
    </xdr:from>
    <xdr:to>
      <xdr:col>54</xdr:col>
      <xdr:colOff>792782</xdr:colOff>
      <xdr:row>66</xdr:row>
      <xdr:rowOff>125470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7CF1A45-DAE1-4790-A463-B8E25CA81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novo" id="{E0672657-F446-4C0A-97D3-400CBC34B399}" userId="Lenovo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18C919-4A6E-4021-B675-F7FC255689E5}" name="Table4" displayName="Table4" ref="A1:H10" totalsRowShown="0">
  <autoFilter ref="A1:H10" xr:uid="{3218C919-4A6E-4021-B675-F7FC255689E5}"/>
  <tableColumns count="8">
    <tableColumn id="1" xr3:uid="{0C19AD21-589C-442D-9083-48EC071C9032}" name="Machine"/>
    <tableColumn id="3" xr3:uid="{DABF3350-934A-448A-A8C0-89C86792D8E2}" name="Start"/>
    <tableColumn id="4" xr3:uid="{733F3408-C216-4FBB-9651-F34FD3B16BBC}" name="Stop"/>
    <tableColumn id="5" xr3:uid="{C4930F15-5430-48B2-8EF4-41F354EACEB8}" name="Downtime" dataDxfId="4">
      <calculatedColumnFormula array="1">SUM(IF((Table4[[#This Row],[Machine]]=Table5[Machine]),Table5[Downtime]))</calculatedColumnFormula>
    </tableColumn>
    <tableColumn id="6" xr3:uid="{F4E4A36E-8DDF-4BBA-8078-9C4ADEED807D}" name="Total Running Hour" dataDxfId="3">
      <calculatedColumnFormula>'Daily Performance Monitoring '!BF4</calculatedColumnFormula>
    </tableColumn>
    <tableColumn id="2" xr3:uid="{F6FBFE44-A5A7-43CC-81A6-F61CE332F26A}" name="Average Running Hour" dataDxfId="2">
      <calculatedColumnFormula>'Daily Performance Monitoring '!BG4</calculatedColumnFormula>
    </tableColumn>
    <tableColumn id="7" xr3:uid="{93AE26A3-BAE5-44C8-9E56-4247BDE7E58C}" name="Product" dataDxfId="1">
      <calculatedColumnFormula>'Daily Performance Monitoring '!BH4</calculatedColumnFormula>
    </tableColumn>
    <tableColumn id="8" xr3:uid="{92369F58-03A9-4237-BACE-31AB89CDA64B}" name="Productivity" dataDxfId="0">
      <calculatedColumnFormula>Table4[[#This Row],[Product]]/Table4[[#This Row],[Total Running Hour]]/1440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0CEE6A-610C-4B39-AECC-BFB8413B62C7}" name="Table3" displayName="Table3" ref="A1:BC20" totalsRowShown="0" headerRowDxfId="66" tableBorderDxfId="65">
  <autoFilter ref="A1:BC20" xr:uid="{080CEE6A-610C-4B39-AECC-BFB8413B62C7}"/>
  <tableColumns count="55">
    <tableColumn id="1" xr3:uid="{451F5E9C-0C54-453A-9724-F58DB9DD42A3}" name="TanggaK Produksi" dataDxfId="64"/>
    <tableColumn id="2" xr3:uid="{017D7441-F590-411C-9763-CB56406352D1}" name="Mesin" dataDxfId="63"/>
    <tableColumn id="3" xr3:uid="{A4DD2F64-4563-4E02-9A77-5C7E61F3C083}" name="CoKumn1" dataDxfId="62"/>
    <tableColumn id="4" xr3:uid="{E4C17001-A5AA-42ED-A823-6F0B8DB73650}" name="CoKumn2" dataDxfId="61"/>
    <tableColumn id="5" xr3:uid="{719199A5-D95F-4D8B-99B0-799F0A9F8B02}" name="CoKumn3" dataDxfId="60">
      <calculatedColumnFormula>C2-B2-D2</calculatedColumnFormula>
    </tableColumn>
    <tableColumn id="6" xr3:uid="{7B328CB7-2B0E-4C5C-B01F-AB056EB36C2A}" name="CoKumn4" dataDxfId="59"/>
    <tableColumn id="7" xr3:uid="{9B6D5769-47FB-46BE-B1F1-90CC8AF85211}" name="CoKumn5" dataDxfId="58">
      <calculatedColumnFormula>F2/E2/24</calculatedColumnFormula>
    </tableColumn>
    <tableColumn id="8" xr3:uid="{DDC79B13-B6CF-43F8-B68C-9775CCF45249}" name="CoKumn6" dataDxfId="57"/>
    <tableColumn id="9" xr3:uid="{707A86F2-7042-47A4-9420-0E8782D8AD3E}" name="CoKumn7" dataDxfId="56"/>
    <tableColumn id="10" xr3:uid="{062064D1-C55E-4B44-9282-7E6E7341EA1F}" name="CoKumn8" dataDxfId="55"/>
    <tableColumn id="11" xr3:uid="{587E8918-51C6-4A5B-BDD5-C41D373A4AE3}" name="CoKumn9" dataDxfId="54">
      <calculatedColumnFormula>I2-H2-J2</calculatedColumnFormula>
    </tableColumn>
    <tableColumn id="12" xr3:uid="{6D476F55-E3A9-4BF6-919C-17017A022672}" name="CoKumn10" dataDxfId="53"/>
    <tableColumn id="13" xr3:uid="{B8DB021F-8922-4EB4-9302-48F5101B054A}" name="CoKumn11" dataDxfId="52">
      <calculatedColumnFormula>L2/K2/24</calculatedColumnFormula>
    </tableColumn>
    <tableColumn id="14" xr3:uid="{FCAF023B-BE67-4207-AE54-ABCDFF7B5852}" name="CoKumn12" dataDxfId="51"/>
    <tableColumn id="15" xr3:uid="{D8849E0B-6A71-4CD5-A172-63BC0FBEE6D5}" name="CoKumn13" dataDxfId="50"/>
    <tableColumn id="16" xr3:uid="{C6EDEAAF-C435-4474-8FFF-438A0BAE6BA0}" name="CoKumn14" dataDxfId="49"/>
    <tableColumn id="17" xr3:uid="{7D63DC69-37D8-4521-92C9-6E7210F053BA}" name="CoKumn15" dataDxfId="48">
      <calculatedColumnFormula>O2-N2-P2</calculatedColumnFormula>
    </tableColumn>
    <tableColumn id="18" xr3:uid="{9FF26F89-4645-4D6C-954D-71CED81E00A3}" name="CoKumn16" dataDxfId="47"/>
    <tableColumn id="19" xr3:uid="{A18870E0-0EB6-40E8-87DE-02D5E70E15FA}" name="CoKumn17" dataDxfId="46">
      <calculatedColumnFormula>R2/Q2/24</calculatedColumnFormula>
    </tableColumn>
    <tableColumn id="20" xr3:uid="{CBB091B5-3C95-4720-A758-4262CD28BF1B}" name="CoKumn18" dataDxfId="45"/>
    <tableColumn id="21" xr3:uid="{BCE43A27-D24D-4BCC-8D0D-447BA6D08587}" name="CoKumn19" dataDxfId="44"/>
    <tableColumn id="22" xr3:uid="{BE92A4F7-3CE0-4949-AB31-9B96798A5855}" name="CoKumn20" dataDxfId="43"/>
    <tableColumn id="23" xr3:uid="{3F643CFB-430D-429E-8BBC-407EEE6A3319}" name="CoKumn21" dataDxfId="42">
      <calculatedColumnFormula>U2-T2-V2</calculatedColumnFormula>
    </tableColumn>
    <tableColumn id="24" xr3:uid="{6EABBD70-3016-403A-A52B-C5DE0EA3ED23}" name="CoKumn22" dataDxfId="41"/>
    <tableColumn id="25" xr3:uid="{2D1F40DD-DE91-40F0-A17D-B80ABB5F4681}" name="CoKumn23" dataDxfId="40">
      <calculatedColumnFormula>X2/W2/24</calculatedColumnFormula>
    </tableColumn>
    <tableColumn id="26" xr3:uid="{98D31166-2575-4C9C-B770-80E6EA2250F9}" name="CoKumn24" dataDxfId="39"/>
    <tableColumn id="27" xr3:uid="{6763D65E-0703-42A2-A6F4-749BFAD3F357}" name="CoKumn25" dataDxfId="38"/>
    <tableColumn id="28" xr3:uid="{9A93A757-F2F5-4504-92A4-5F7A18764414}" name="CoKumn26" dataDxfId="37"/>
    <tableColumn id="29" xr3:uid="{8D20A9FB-D883-421A-973E-5D2CA718D476}" name="CoKumn27" dataDxfId="36">
      <calculatedColumnFormula>AA2-Z2-AB2</calculatedColumnFormula>
    </tableColumn>
    <tableColumn id="30" xr3:uid="{E8A67C58-6500-4951-959E-41FE8BB1369A}" name="CoKumn28" dataDxfId="35"/>
    <tableColumn id="31" xr3:uid="{E079F3AD-AA0B-412E-AB01-6AAB56E75F0F}" name="CoKumn29" dataDxfId="34">
      <calculatedColumnFormula>AD2/AC2/24</calculatedColumnFormula>
    </tableColumn>
    <tableColumn id="32" xr3:uid="{B2EDCF39-CF41-4EE7-A577-C9FA6678DEE5}" name="CoKumn30" dataDxfId="33"/>
    <tableColumn id="33" xr3:uid="{12376C80-DC87-4120-B77C-335DC8411F9B}" name="CoKumn31" dataDxfId="32"/>
    <tableColumn id="34" xr3:uid="{FF5425FB-0E93-40FC-9AC9-2E7184D310DC}" name="CoKumn32" dataDxfId="31"/>
    <tableColumn id="35" xr3:uid="{49CE32B7-503D-4C1D-A8FA-49E58B452A92}" name="CoKumn33" dataDxfId="30">
      <calculatedColumnFormula>AG2-AF2-AH2</calculatedColumnFormula>
    </tableColumn>
    <tableColumn id="36" xr3:uid="{760E8939-37DE-4E24-A3BE-7F92611B8388}" name="CoKumn34" dataDxfId="29"/>
    <tableColumn id="37" xr3:uid="{94989EB3-64E2-4F50-80F9-F78D29690A40}" name="CoKumn35" dataDxfId="28">
      <calculatedColumnFormula>AJ2/AI2/24</calculatedColumnFormula>
    </tableColumn>
    <tableColumn id="38" xr3:uid="{A595CE36-BE4C-4F40-B292-91E08C642823}" name="CoKumn36" dataDxfId="27"/>
    <tableColumn id="39" xr3:uid="{28AE733C-F58F-470D-8EF3-1B25209EE08C}" name="CoKumn37" dataDxfId="26"/>
    <tableColumn id="40" xr3:uid="{E2865463-F626-49FD-92EA-1D94027D5E51}" name="CoKumn38" dataDxfId="25"/>
    <tableColumn id="41" xr3:uid="{A8BDD5B1-975F-450F-844C-26262461D489}" name="CoKumn39" dataDxfId="24">
      <calculatedColumnFormula>AM2-AL2-AN2</calculatedColumnFormula>
    </tableColumn>
    <tableColumn id="42" xr3:uid="{542CE64D-7245-41D2-A020-10DD3C7C0209}" name="CoKumn40" dataDxfId="23"/>
    <tableColumn id="43" xr3:uid="{B9250344-F5CD-4491-9E9E-C01489991A80}" name="CoKumn41" dataDxfId="22">
      <calculatedColumnFormula>AP2/AO2/24</calculatedColumnFormula>
    </tableColumn>
    <tableColumn id="44" xr3:uid="{3D623E78-5305-4958-BD62-A6A69A801B60}" name="CoKumn42" dataDxfId="21"/>
    <tableColumn id="45" xr3:uid="{C955B1D3-99D8-4989-88BD-776C30120F73}" name="CoKumn43" dataDxfId="20"/>
    <tableColumn id="46" xr3:uid="{DA4E5580-18EF-4297-989B-7A9EE0768D6C}" name="CoKumn44" dataDxfId="19"/>
    <tableColumn id="47" xr3:uid="{B028D26E-A48C-4FE7-B1C0-77A37B03F665}" name="CoKumn45" dataDxfId="18">
      <calculatedColumnFormula>AS2-AR2-AT2</calculatedColumnFormula>
    </tableColumn>
    <tableColumn id="48" xr3:uid="{FF7C3E73-3E0D-49E5-A00D-FEC973879B9A}" name="CoKumn46" dataDxfId="17"/>
    <tableColumn id="49" xr3:uid="{49A5C806-B793-498B-A695-D751B5F0D107}" name="CoKumn47" dataDxfId="16">
      <calculatedColumnFormula>AV2/AU2/24</calculatedColumnFormula>
    </tableColumn>
    <tableColumn id="50" xr3:uid="{80E0130A-17E6-422A-9C3C-FAF3CFECC130}" name="CoKumn48" dataDxfId="15"/>
    <tableColumn id="51" xr3:uid="{2184D422-69AD-4B85-9DC0-769781806096}" name="CoKumn49" dataDxfId="14"/>
    <tableColumn id="52" xr3:uid="{1C5AA6F9-54BA-4DB1-8D59-5A408CC3A338}" name="CoKumn50" dataDxfId="13"/>
    <tableColumn id="53" xr3:uid="{A0799CE5-1E00-4797-B1A9-6FBB5C144C69}" name="CoKumn51" dataDxfId="12">
      <calculatedColumnFormula>AY2-AX2-AZ2</calculatedColumnFormula>
    </tableColumn>
    <tableColumn id="54" xr3:uid="{97E2238E-6027-4A40-9560-377A92D24A42}" name="CoKumn52" dataDxfId="11"/>
    <tableColumn id="55" xr3:uid="{47B8554E-03CE-4295-94F3-7A3915561EA3}" name="CoKumn53" dataDxfId="10">
      <calculatedColumnFormula>BB2/BA2/24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FA8A0E-C6FD-40B1-815F-07B19E0C52FB}" name="Table5" displayName="Table5" ref="B1:G38" totalsRowShown="0" headerRowDxfId="9">
  <autoFilter ref="B1:G38" xr:uid="{EEFA8A0E-C6FD-40B1-815F-07B19E0C52FB}">
    <filterColumn colId="1">
      <filters>
        <filter val="BRDR1"/>
      </filters>
    </filterColumn>
  </autoFilter>
  <tableColumns count="6">
    <tableColumn id="1" xr3:uid="{D5EF1E8F-CDFD-4EBB-8697-9C0D4D81F1D0}" name="Date" dataDxfId="8">
      <calculatedColumnFormula>TODAY()</calculatedColumnFormula>
    </tableColumn>
    <tableColumn id="2" xr3:uid="{307520BD-D4A8-4E98-A8CF-ADB663CA7CDC}" name="Machine"/>
    <tableColumn id="3" xr3:uid="{8EFDC0B0-0E20-43EC-865A-AB16D2110DFD}" name="Downtime Cause"/>
    <tableColumn id="4" xr3:uid="{19D29DE3-A4AF-4B16-A8C1-9F62B02D41D1}" name="Downtime Start" dataDxfId="7"/>
    <tableColumn id="5" xr3:uid="{0F575033-1379-4BB5-85AE-228FBCDE0E87}" name="Downtime  Stop" dataDxfId="6"/>
    <tableColumn id="6" xr3:uid="{C5DB9D3C-70BF-4169-B906-C9CEEA4B62CC}" name="Downtime" dataDxfId="5">
      <calculatedColumnFormula>F2-E2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5T06:11:06.68" personId="{E0672657-F446-4C0A-97D3-400CBC34B399}" id="{17F3E07B-85DC-473E-80DD-F28B991AF892}">
    <text>Input manual</text>
  </threadedComment>
  <threadedComment ref="B1" dT="2025-08-15T06:09:41.02" personId="{E0672657-F446-4C0A-97D3-400CBC34B399}" id="{7E304552-1C52-4F53-9A9C-53188E835A6C}">
    <text>Input manual</text>
  </threadedComment>
  <threadedComment ref="C1" dT="2025-08-15T06:09:33.61" personId="{E0672657-F446-4C0A-97D3-400CBC34B399}" id="{E7D33DE1-9E8F-40DB-A663-79C1A4182B1D}">
    <text>Input manual</text>
  </threadedComment>
  <threadedComment ref="G1" dT="2025-08-15T06:09:13.33" personId="{E0672657-F446-4C0A-97D3-400CBC34B399}" id="{53BB66D6-0CD0-44EE-924E-FABFB28C1579}">
    <text>Input manual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B7EE-D3AD-4A0F-AE12-F637A633D080}">
  <dimension ref="B1:R21"/>
  <sheetViews>
    <sheetView showGridLines="0" tabSelected="1" zoomScaleNormal="100" workbookViewId="0">
      <selection activeCell="L4" sqref="L4"/>
    </sheetView>
  </sheetViews>
  <sheetFormatPr defaultRowHeight="14.5" x14ac:dyDescent="0.35"/>
  <cols>
    <col min="1" max="1" width="1.453125" customWidth="1"/>
    <col min="4" max="4" width="15.6328125" customWidth="1"/>
    <col min="10" max="10" width="16" customWidth="1"/>
    <col min="16" max="16" width="15.6328125" customWidth="1"/>
    <col min="18" max="18" width="5.81640625" customWidth="1"/>
  </cols>
  <sheetData>
    <row r="1" spans="2:18" ht="20" thickBot="1" x14ac:dyDescent="0.4">
      <c r="B1" s="32" t="s">
        <v>26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2:18" ht="15" thickTop="1" x14ac:dyDescent="0.35"/>
    <row r="3" spans="2:18" ht="15" thickBot="1" x14ac:dyDescent="0.4"/>
    <row r="4" spans="2:18" ht="16" thickBot="1" x14ac:dyDescent="0.4">
      <c r="D4" s="30" t="s">
        <v>14</v>
      </c>
      <c r="J4" s="30" t="s">
        <v>13</v>
      </c>
      <c r="P4" s="30" t="s">
        <v>18</v>
      </c>
    </row>
    <row r="5" spans="2:18" x14ac:dyDescent="0.35">
      <c r="J5" s="31" t="s">
        <v>7</v>
      </c>
    </row>
    <row r="20" spans="4:16" ht="15" thickBot="1" x14ac:dyDescent="0.4"/>
    <row r="21" spans="4:16" ht="31.5" thickBot="1" x14ac:dyDescent="0.4">
      <c r="D21" s="66" t="s">
        <v>45</v>
      </c>
      <c r="J21" s="30" t="s">
        <v>24</v>
      </c>
      <c r="P21" s="30" t="s">
        <v>25</v>
      </c>
    </row>
  </sheetData>
  <mergeCells count="1">
    <mergeCell ref="B1:R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E0204-E2A0-427A-9DED-90AF114F39C0}">
          <x14:formula1>
            <xm:f>Calculation!$A$2:$A$10</xm:f>
          </x14:formula1>
          <xm:sqref>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A590-3D9C-41F4-BC8B-65894092682D}">
  <dimension ref="A1:AA36"/>
  <sheetViews>
    <sheetView topLeftCell="A10" zoomScale="71" zoomScaleNormal="71" workbookViewId="0">
      <selection activeCell="F15" sqref="F15:F23"/>
    </sheetView>
  </sheetViews>
  <sheetFormatPr defaultRowHeight="14.5" x14ac:dyDescent="0.35"/>
  <cols>
    <col min="2" max="2" width="10.6328125" bestFit="1" customWidth="1"/>
    <col min="3" max="6" width="10.6328125" customWidth="1"/>
    <col min="7" max="7" width="9.453125" bestFit="1" customWidth="1"/>
    <col min="8" max="8" width="9.453125" customWidth="1"/>
    <col min="9" max="9" width="12.08984375" bestFit="1" customWidth="1"/>
    <col min="10" max="11" width="9.453125" customWidth="1"/>
    <col min="12" max="12" width="12.26953125" bestFit="1" customWidth="1"/>
    <col min="13" max="13" width="11.7265625" bestFit="1" customWidth="1"/>
    <col min="14" max="14" width="10.26953125" bestFit="1" customWidth="1"/>
    <col min="20" max="20" width="12.08984375" bestFit="1" customWidth="1"/>
    <col min="23" max="23" width="12.08984375" bestFit="1" customWidth="1"/>
  </cols>
  <sheetData>
    <row r="1" spans="1:27" ht="43.5" x14ac:dyDescent="0.35">
      <c r="A1" s="55" t="s">
        <v>15</v>
      </c>
      <c r="B1" s="55" t="s">
        <v>14</v>
      </c>
      <c r="C1" s="55"/>
      <c r="D1" s="55"/>
      <c r="E1" s="55"/>
      <c r="F1" s="55"/>
      <c r="G1" s="55"/>
      <c r="H1" s="55" t="s">
        <v>15</v>
      </c>
      <c r="I1" s="55" t="s">
        <v>13</v>
      </c>
      <c r="J1" s="55"/>
      <c r="K1" s="55"/>
      <c r="L1" s="55"/>
      <c r="M1" s="55"/>
      <c r="N1" s="55"/>
      <c r="O1" s="55" t="s">
        <v>15</v>
      </c>
      <c r="P1" s="55" t="s">
        <v>44</v>
      </c>
      <c r="Q1" s="55"/>
      <c r="R1" s="55"/>
      <c r="S1" s="55"/>
      <c r="T1" s="55"/>
      <c r="V1" s="55" t="s">
        <v>15</v>
      </c>
      <c r="W1" s="55" t="s">
        <v>45</v>
      </c>
      <c r="X1" s="55"/>
      <c r="Y1" s="55"/>
      <c r="Z1" s="55"/>
      <c r="AA1" s="55"/>
    </row>
    <row r="2" spans="1:27" x14ac:dyDescent="0.35">
      <c r="A2" t="s">
        <v>3</v>
      </c>
      <c r="B2" s="3" cm="1">
        <f t="array" ref="B2">AVERAGE(IF((Table4[Machine]=A2),Table4[Productivity]))</f>
        <v>1.1772723000281979</v>
      </c>
      <c r="C2" t="str" cm="1">
        <f t="array" ref="C2:D10">_xlfn._xlws.SORT(A2:B10,2,1)</f>
        <v>BRDR4</v>
      </c>
      <c r="D2" s="3">
        <v>1.1487275274340416</v>
      </c>
      <c r="E2" s="3">
        <f>IF($C2&lt;&gt;Machine,$D2,NA())</f>
        <v>1.1487275274340416</v>
      </c>
      <c r="F2" s="3" t="e">
        <f>IF($C2=Machine,$D2,NA())</f>
        <v>#N/A</v>
      </c>
      <c r="H2" t="s">
        <v>3</v>
      </c>
      <c r="I2" s="27" cm="1">
        <f t="array" ref="I2">AVERAGE(IF((Table4[Machine]=H2),Table4[Downtime]))</f>
        <v>8.9444444444444438E-2</v>
      </c>
      <c r="J2" t="str" cm="1">
        <f t="array" ref="J2:K10">_xlfn._xlws.SORT(H2:I10,2,1)</f>
        <v>BRDR3</v>
      </c>
      <c r="K2" s="27">
        <v>2.083333333333337E-2</v>
      </c>
      <c r="L2" s="27">
        <f>IF($J2&lt;&gt;Machine,$K2,NA())</f>
        <v>2.083333333333337E-2</v>
      </c>
      <c r="M2" s="27" t="e">
        <f>IF($J2=Machine,$K2,NA())</f>
        <v>#N/A</v>
      </c>
      <c r="O2" t="s">
        <v>3</v>
      </c>
      <c r="P2" s="56" cm="1">
        <f t="array" ref="P2">AVERAGE(IF((Table4[Machine]=Calculation!$O2),Table4[Total Running Hour]))</f>
        <v>9.8509259259259269E-2</v>
      </c>
      <c r="Q2" s="57" t="str" cm="1">
        <f t="array" ref="Q2:R10">_xlfn._xlws.SORT(O2:P10,2,1)</f>
        <v>BRDR8</v>
      </c>
      <c r="R2" s="56">
        <v>9.7143518518518518E-2</v>
      </c>
      <c r="S2" s="56">
        <f>IF($Q2&lt;&gt;Machine,$R2,NA())</f>
        <v>9.7143518518518518E-2</v>
      </c>
      <c r="T2" s="56" t="e">
        <f>IF($Q2=Machine,$R2,NA())</f>
        <v>#N/A</v>
      </c>
      <c r="V2" t="s">
        <v>3</v>
      </c>
      <c r="W2" s="64" cm="1">
        <f t="array" ref="W2">AVERAGE(IF((Table4[Machine]=Calculation!$O2),Table4[Average Running Hour]))</f>
        <v>0.36940972222222224</v>
      </c>
      <c r="X2" s="65" t="str" cm="1">
        <f t="array" ref="X2:Y10">_xlfn._xlws.SORT(V2:W10,2,1)</f>
        <v>BRDR8</v>
      </c>
      <c r="Y2" s="64">
        <v>0.36428819444444444</v>
      </c>
      <c r="Z2" s="64">
        <f>IF($X2&lt;&gt;Machine,$Y2,NA())</f>
        <v>0.36428819444444444</v>
      </c>
      <c r="AA2" s="64" t="e">
        <f>IF($X2=Machine,$Y2,NA())</f>
        <v>#N/A</v>
      </c>
    </row>
    <row r="3" spans="1:27" x14ac:dyDescent="0.35">
      <c r="A3" t="s">
        <v>4</v>
      </c>
      <c r="B3" s="3" cm="1">
        <f t="array" ref="B3">AVERAGE(IF((Table4[Machine]=A3),Table4[Productivity]))</f>
        <v>1.1623564559798338</v>
      </c>
      <c r="C3" t="str">
        <v>BRDR2</v>
      </c>
      <c r="D3" s="3">
        <v>1.1623564559798338</v>
      </c>
      <c r="E3" s="3">
        <f>IF($C3&lt;&gt;Machine,$D3,NA())</f>
        <v>1.1623564559798338</v>
      </c>
      <c r="F3" s="3" t="e">
        <f>IF($C3=Machine,$D3,NA())</f>
        <v>#N/A</v>
      </c>
      <c r="H3" t="s">
        <v>4</v>
      </c>
      <c r="I3" s="27" cm="1">
        <f t="array" ref="I3">AVERAGE(IF((Table4[Machine]=H3),Table4[Downtime]))</f>
        <v>4.9444444444444458E-2</v>
      </c>
      <c r="J3" t="str">
        <v>BRDR2</v>
      </c>
      <c r="K3" s="27">
        <v>4.9444444444444458E-2</v>
      </c>
      <c r="L3" s="27">
        <f>IF($J3&lt;&gt;Machine,$K3,NA())</f>
        <v>4.9444444444444458E-2</v>
      </c>
      <c r="M3" s="27" t="e">
        <f>IF($J3=Machine,$K3,NA())</f>
        <v>#N/A</v>
      </c>
      <c r="O3" t="s">
        <v>4</v>
      </c>
      <c r="P3" s="56" cm="1">
        <f t="array" ref="P3">AVERAGE(IF((Table4[Machine]=Calculation!$O3),Table4[Total Running Hour]))</f>
        <v>9.9175925925925931E-2</v>
      </c>
      <c r="Q3" s="57" t="str">
        <v>BRDR9</v>
      </c>
      <c r="R3" s="56">
        <v>9.7328703703703695E-2</v>
      </c>
      <c r="S3" s="56">
        <f>IF($Q3&lt;&gt;Machine,$R3,NA())</f>
        <v>9.7328703703703695E-2</v>
      </c>
      <c r="T3" s="56" t="e">
        <f>IF($Q3=Machine,$R3,NA())</f>
        <v>#N/A</v>
      </c>
      <c r="V3" t="s">
        <v>4</v>
      </c>
      <c r="W3" s="64" cm="1">
        <f t="array" ref="W3">AVERAGE(IF((Table4[Machine]=Calculation!$O3),Table4[Average Running Hour]))</f>
        <v>0.37190972222222224</v>
      </c>
      <c r="X3" s="65" t="str">
        <v>BRDR9</v>
      </c>
      <c r="Y3" s="64">
        <v>0.36498263888888888</v>
      </c>
      <c r="Z3" s="64">
        <f>IF($X3&lt;&gt;Machine,$Y3,NA())</f>
        <v>0.36498263888888888</v>
      </c>
      <c r="AA3" s="64" t="e">
        <f>IF($X3=Machine,$Y3,NA())</f>
        <v>#N/A</v>
      </c>
    </row>
    <row r="4" spans="1:27" x14ac:dyDescent="0.35">
      <c r="A4" t="s">
        <v>5</v>
      </c>
      <c r="B4" s="3" cm="1">
        <f t="array" ref="B4">AVERAGE(IF((Table4[Machine]=A4),Table4[Productivity]))</f>
        <v>1.1707317073170729</v>
      </c>
      <c r="C4" t="str">
        <v>BRDR3</v>
      </c>
      <c r="D4" s="3">
        <v>1.1707317073170729</v>
      </c>
      <c r="E4" s="3">
        <f>IF($C4&lt;&gt;Machine,$D4,NA())</f>
        <v>1.1707317073170729</v>
      </c>
      <c r="F4" s="3" t="e">
        <f>IF($C4=Machine,$D4,NA())</f>
        <v>#N/A</v>
      </c>
      <c r="H4" t="s">
        <v>5</v>
      </c>
      <c r="I4" s="27" cm="1">
        <f t="array" ref="I4">AVERAGE(IF((Table4[Machine]=H4),Table4[Downtime]))</f>
        <v>2.083333333333337E-2</v>
      </c>
      <c r="J4" t="str">
        <v>BRDR4</v>
      </c>
      <c r="K4" s="27">
        <v>5.1388888888888928E-2</v>
      </c>
      <c r="L4" s="27">
        <f>IF($J4&lt;&gt;Machine,$K4,NA())</f>
        <v>5.1388888888888928E-2</v>
      </c>
      <c r="M4" s="27" t="e">
        <f>IF($J4=Machine,$K4,NA())</f>
        <v>#N/A</v>
      </c>
      <c r="O4" t="s">
        <v>5</v>
      </c>
      <c r="P4" s="56" cm="1">
        <f t="array" ref="P4">AVERAGE(IF((Table4[Machine]=Calculation!$O4),Table4[Total Running Hour]))</f>
        <v>9.9652777777777798E-2</v>
      </c>
      <c r="Q4" s="57" t="str">
        <v>BRDR1</v>
      </c>
      <c r="R4" s="56">
        <v>9.8509259259259269E-2</v>
      </c>
      <c r="S4" s="56">
        <f>IF($Q4&lt;&gt;Machine,$R4,NA())</f>
        <v>9.8509259259259269E-2</v>
      </c>
      <c r="T4" s="56" t="e">
        <f>IF($Q4=Machine,$R4,NA())</f>
        <v>#N/A</v>
      </c>
      <c r="V4" t="s">
        <v>5</v>
      </c>
      <c r="W4" s="64" cm="1">
        <f t="array" ref="W4">AVERAGE(IF((Table4[Machine]=Calculation!$O4),Table4[Average Running Hour]))</f>
        <v>0.37369791666666674</v>
      </c>
      <c r="X4" s="65" t="str">
        <v>BRDR1</v>
      </c>
      <c r="Y4" s="64">
        <v>0.36940972222222224</v>
      </c>
      <c r="Z4" s="64">
        <f>IF($X4&lt;&gt;Machine,$Y4,NA())</f>
        <v>0.36940972222222224</v>
      </c>
      <c r="AA4" s="64" t="e">
        <f>IF($X4=Machine,$Y4,NA())</f>
        <v>#N/A</v>
      </c>
    </row>
    <row r="5" spans="1:27" x14ac:dyDescent="0.35">
      <c r="A5" t="s">
        <v>6</v>
      </c>
      <c r="B5" s="3" cm="1">
        <f t="array" ref="B5">AVERAGE(IF((Table4[Machine]=A5),Table4[Productivity]))</f>
        <v>1.1487275274340416</v>
      </c>
      <c r="C5" t="str">
        <v>BRDR1</v>
      </c>
      <c r="D5" s="3">
        <v>1.1772723000281979</v>
      </c>
      <c r="E5" s="3">
        <f>IF($C5&lt;&gt;Machine,$D5,NA())</f>
        <v>1.1772723000281979</v>
      </c>
      <c r="F5" s="3" t="e">
        <f>IF($C5=Machine,$D5,NA())</f>
        <v>#N/A</v>
      </c>
      <c r="H5" t="s">
        <v>6</v>
      </c>
      <c r="I5" s="27" cm="1">
        <f t="array" ref="I5">AVERAGE(IF((Table4[Machine]=H5),Table4[Downtime]))</f>
        <v>5.1388888888888928E-2</v>
      </c>
      <c r="J5" t="str">
        <v>BRDR6</v>
      </c>
      <c r="K5" s="27">
        <v>6.8333333333333357E-2</v>
      </c>
      <c r="L5" s="27">
        <f>IF($J5&lt;&gt;Machine,$K5,NA())</f>
        <v>6.8333333333333357E-2</v>
      </c>
      <c r="M5" s="27" t="e">
        <f>IF($J5=Machine,$K5,NA())</f>
        <v>#N/A</v>
      </c>
      <c r="O5" t="s">
        <v>6</v>
      </c>
      <c r="P5" s="56" cm="1">
        <f t="array" ref="P5">AVERAGE(IF((Table4[Machine]=Calculation!$O5),Table4[Total Running Hour]))</f>
        <v>9.914351851851852E-2</v>
      </c>
      <c r="Q5" s="57" t="str">
        <v>BRDR7</v>
      </c>
      <c r="R5" s="56">
        <v>9.8583333333333342E-2</v>
      </c>
      <c r="S5" s="56">
        <f>IF($Q5&lt;&gt;Machine,$R5,NA())</f>
        <v>9.8583333333333342E-2</v>
      </c>
      <c r="T5" s="56" t="e">
        <f>IF($Q5=Machine,$R5,NA())</f>
        <v>#N/A</v>
      </c>
      <c r="V5" t="s">
        <v>6</v>
      </c>
      <c r="W5" s="64" cm="1">
        <f t="array" ref="W5">AVERAGE(IF((Table4[Machine]=Calculation!$O5),Table4[Average Running Hour]))</f>
        <v>0.37178819444444444</v>
      </c>
      <c r="X5" s="65" t="str">
        <v>BRDR7</v>
      </c>
      <c r="Y5" s="64">
        <v>0.36968750000000006</v>
      </c>
      <c r="Z5" s="64">
        <f>IF($X5&lt;&gt;Machine,$Y5,NA())</f>
        <v>0.36968750000000006</v>
      </c>
      <c r="AA5" s="64" t="e">
        <f>IF($X5=Machine,$Y5,NA())</f>
        <v>#N/A</v>
      </c>
    </row>
    <row r="6" spans="1:27" x14ac:dyDescent="0.35">
      <c r="A6" t="s">
        <v>7</v>
      </c>
      <c r="B6" s="3" cm="1">
        <f t="array" ref="B6">AVERAGE(IF((Table4[Machine]=A6),Table4[Productivity]))</f>
        <v>1.196789787393814</v>
      </c>
      <c r="C6" t="str">
        <v>BRDR9</v>
      </c>
      <c r="D6" s="3">
        <v>1.1844170670218335</v>
      </c>
      <c r="E6" s="3">
        <f>IF($C6&lt;&gt;Machine,$D6,NA())</f>
        <v>1.1844170670218335</v>
      </c>
      <c r="F6" s="3" t="e">
        <f>IF($C6=Machine,$D6,NA())</f>
        <v>#N/A</v>
      </c>
      <c r="H6" t="s">
        <v>7</v>
      </c>
      <c r="I6" s="27" cm="1">
        <f t="array" ref="I6">AVERAGE(IF((Table4[Machine]=H6),Table4[Downtime]))</f>
        <v>8.1388888888888899E-2</v>
      </c>
      <c r="J6" t="str">
        <v>BRDR5</v>
      </c>
      <c r="K6" s="27">
        <v>8.1388888888888899E-2</v>
      </c>
      <c r="L6" s="27" t="e">
        <f>IF($J6&lt;&gt;Machine,$K6,NA())</f>
        <v>#N/A</v>
      </c>
      <c r="M6" s="27">
        <f>IF($J6=Machine,$K6,NA())</f>
        <v>8.1388888888888899E-2</v>
      </c>
      <c r="O6" t="s">
        <v>7</v>
      </c>
      <c r="P6" s="56" cm="1">
        <f t="array" ref="P6">AVERAGE(IF((Table4[Machine]=Calculation!$O6),Table4[Total Running Hour]))</f>
        <v>9.8643518518518533E-2</v>
      </c>
      <c r="Q6" s="57" t="str">
        <v>BRDR5</v>
      </c>
      <c r="R6" s="56">
        <v>9.8643518518518533E-2</v>
      </c>
      <c r="S6" s="56" t="e">
        <f>IF($Q6&lt;&gt;Machine,$R6,NA())</f>
        <v>#N/A</v>
      </c>
      <c r="T6" s="56">
        <f>IF($Q6=Machine,$R6,NA())</f>
        <v>9.8643518518518533E-2</v>
      </c>
      <c r="V6" t="s">
        <v>7</v>
      </c>
      <c r="W6" s="64" cm="1">
        <f t="array" ref="W6">AVERAGE(IF((Table4[Machine]=Calculation!$O6),Table4[Average Running Hour]))</f>
        <v>0.36991319444444448</v>
      </c>
      <c r="X6" s="65" t="str">
        <v>BRDR5</v>
      </c>
      <c r="Y6" s="64">
        <v>0.36991319444444448</v>
      </c>
      <c r="Z6" s="64" t="e">
        <f>IF($X6&lt;&gt;Machine,$Y6,NA())</f>
        <v>#N/A</v>
      </c>
      <c r="AA6" s="64">
        <f>IF($X6=Machine,$Y6,NA())</f>
        <v>0.36991319444444448</v>
      </c>
    </row>
    <row r="7" spans="1:27" x14ac:dyDescent="0.35">
      <c r="A7" t="s">
        <v>8</v>
      </c>
      <c r="B7" s="3" cm="1">
        <f t="array" ref="B7">AVERAGE(IF((Table4[Machine]=A7),Table4[Productivity]))</f>
        <v>1.1941556617027254</v>
      </c>
      <c r="C7" t="str">
        <v>BRDR6</v>
      </c>
      <c r="D7" s="3">
        <v>1.1941556617027254</v>
      </c>
      <c r="E7" s="3">
        <f>IF($C7&lt;&gt;Machine,$D7,NA())</f>
        <v>1.1941556617027254</v>
      </c>
      <c r="F7" s="3" t="e">
        <f>IF($C7=Machine,$D7,NA())</f>
        <v>#N/A</v>
      </c>
      <c r="H7" t="s">
        <v>8</v>
      </c>
      <c r="I7" s="27" cm="1">
        <f t="array" ref="I7">AVERAGE(IF((Table4[Machine]=H7),Table4[Downtime]))</f>
        <v>6.8333333333333357E-2</v>
      </c>
      <c r="J7" t="str">
        <v>BRDR7</v>
      </c>
      <c r="K7" s="27">
        <v>8.4999999999999964E-2</v>
      </c>
      <c r="L7" s="27">
        <f>IF($J7&lt;&gt;Machine,$K7,NA())</f>
        <v>8.4999999999999964E-2</v>
      </c>
      <c r="M7" s="27" t="e">
        <f>IF($J7=Machine,$K7,NA())</f>
        <v>#N/A</v>
      </c>
      <c r="O7" t="s">
        <v>8</v>
      </c>
      <c r="P7" s="56" cm="1">
        <f t="array" ref="P7">AVERAGE(IF((Table4[Machine]=Calculation!$O7),Table4[Total Running Hour]))</f>
        <v>9.8861111111111122E-2</v>
      </c>
      <c r="Q7" s="57" t="str">
        <v>BRDR6</v>
      </c>
      <c r="R7" s="56">
        <v>9.8861111111111122E-2</v>
      </c>
      <c r="S7" s="56">
        <f>IF($Q7&lt;&gt;Machine,$R7,NA())</f>
        <v>9.8861111111111122E-2</v>
      </c>
      <c r="T7" s="56" t="e">
        <f>IF($Q7=Machine,$R7,NA())</f>
        <v>#N/A</v>
      </c>
      <c r="V7" t="s">
        <v>8</v>
      </c>
      <c r="W7" s="64" cm="1">
        <f t="array" ref="W7">AVERAGE(IF((Table4[Machine]=Calculation!$O7),Table4[Average Running Hour]))</f>
        <v>0.37072916666666672</v>
      </c>
      <c r="X7" s="65" t="str">
        <v>BRDR6</v>
      </c>
      <c r="Y7" s="64">
        <v>0.37072916666666672</v>
      </c>
      <c r="Z7" s="64">
        <f>IF($X7&lt;&gt;Machine,$Y7,NA())</f>
        <v>0.37072916666666672</v>
      </c>
      <c r="AA7" s="64" t="e">
        <f>IF($X7=Machine,$Y7,NA())</f>
        <v>#N/A</v>
      </c>
    </row>
    <row r="8" spans="1:27" x14ac:dyDescent="0.35">
      <c r="A8" t="s">
        <v>9</v>
      </c>
      <c r="B8" s="3" cm="1">
        <f t="array" ref="B8">AVERAGE(IF((Table4[Machine]=A8),Table4[Productivity]))</f>
        <v>1.2045646661031275</v>
      </c>
      <c r="C8" t="str">
        <v>BRDR5</v>
      </c>
      <c r="D8" s="3">
        <v>1.196789787393814</v>
      </c>
      <c r="E8" s="3" t="e">
        <f>IF($C8&lt;&gt;Machine,$D8,NA())</f>
        <v>#N/A</v>
      </c>
      <c r="F8" s="3">
        <f>IF($C8=Machine,$D8,NA())</f>
        <v>1.196789787393814</v>
      </c>
      <c r="H8" t="s">
        <v>9</v>
      </c>
      <c r="I8" s="27" cm="1">
        <f t="array" ref="I8">AVERAGE(IF((Table4[Machine]=H8),Table4[Downtime]))</f>
        <v>8.4999999999999964E-2</v>
      </c>
      <c r="J8" t="str">
        <v>BRDR1</v>
      </c>
      <c r="K8" s="27">
        <v>8.9444444444444438E-2</v>
      </c>
      <c r="L8" s="27">
        <f>IF($J8&lt;&gt;Machine,$K8,NA())</f>
        <v>8.9444444444444438E-2</v>
      </c>
      <c r="M8" s="27" t="e">
        <f>IF($J8=Machine,$K8,NA())</f>
        <v>#N/A</v>
      </c>
      <c r="O8" t="s">
        <v>9</v>
      </c>
      <c r="P8" s="56" cm="1">
        <f t="array" ref="P8">AVERAGE(IF((Table4[Machine]=Calculation!$O8),Table4[Total Running Hour]))</f>
        <v>9.8583333333333342E-2</v>
      </c>
      <c r="Q8" s="57" t="str">
        <v>BRDR4</v>
      </c>
      <c r="R8" s="56">
        <v>9.914351851851852E-2</v>
      </c>
      <c r="S8" s="56">
        <f>IF($Q8&lt;&gt;Machine,$R8,NA())</f>
        <v>9.914351851851852E-2</v>
      </c>
      <c r="T8" s="56" t="e">
        <f>IF($Q8=Machine,$R8,NA())</f>
        <v>#N/A</v>
      </c>
      <c r="V8" t="s">
        <v>9</v>
      </c>
      <c r="W8" s="64" cm="1">
        <f t="array" ref="W8">AVERAGE(IF((Table4[Machine]=Calculation!$O8),Table4[Average Running Hour]))</f>
        <v>0.36968750000000006</v>
      </c>
      <c r="X8" s="65" t="str">
        <v>BRDR4</v>
      </c>
      <c r="Y8" s="64">
        <v>0.37178819444444444</v>
      </c>
      <c r="Z8" s="64">
        <f>IF($X8&lt;&gt;Machine,$Y8,NA())</f>
        <v>0.37178819444444444</v>
      </c>
      <c r="AA8" s="64" t="e">
        <f>IF($X8=Machine,$Y8,NA())</f>
        <v>#N/A</v>
      </c>
    </row>
    <row r="9" spans="1:27" x14ac:dyDescent="0.35">
      <c r="A9" t="s">
        <v>10</v>
      </c>
      <c r="B9" s="3" cm="1">
        <f t="array" ref="B9">AVERAGE(IF((Table4[Machine]=A9),Table4[Productivity]))</f>
        <v>1.2367154363055806</v>
      </c>
      <c r="C9" t="str">
        <v>BRDR7</v>
      </c>
      <c r="D9" s="3">
        <v>1.2045646661031275</v>
      </c>
      <c r="E9" s="3">
        <f>IF($C9&lt;&gt;Machine,$D9,NA())</f>
        <v>1.2045646661031275</v>
      </c>
      <c r="F9" s="3" t="e">
        <f>IF($C9=Machine,$D9,NA())</f>
        <v>#N/A</v>
      </c>
      <c r="H9" t="s">
        <v>10</v>
      </c>
      <c r="I9" s="27" cm="1">
        <f t="array" ref="I9">AVERAGE(IF((Table4[Machine]=H9),Table4[Downtime]))</f>
        <v>0.17138888888888887</v>
      </c>
      <c r="J9" t="str">
        <v>BRDR9</v>
      </c>
      <c r="K9" s="27">
        <v>0.16027777777777774</v>
      </c>
      <c r="L9" s="27">
        <f>IF($J9&lt;&gt;Machine,$K9,NA())</f>
        <v>0.16027777777777774</v>
      </c>
      <c r="M9" s="27" t="e">
        <f>IF($J9=Machine,$K9,NA())</f>
        <v>#N/A</v>
      </c>
      <c r="O9" t="s">
        <v>10</v>
      </c>
      <c r="P9" s="56" cm="1">
        <f t="array" ref="P9">AVERAGE(IF((Table4[Machine]=Calculation!$O9),Table4[Total Running Hour]))</f>
        <v>9.7143518518518518E-2</v>
      </c>
      <c r="Q9" s="57" t="str">
        <v>BRDR2</v>
      </c>
      <c r="R9" s="56">
        <v>9.9175925925925931E-2</v>
      </c>
      <c r="S9" s="56">
        <f>IF($Q9&lt;&gt;Machine,$R9,NA())</f>
        <v>9.9175925925925931E-2</v>
      </c>
      <c r="T9" s="56" t="e">
        <f>IF($Q9=Machine,$R9,NA())</f>
        <v>#N/A</v>
      </c>
      <c r="V9" t="s">
        <v>10</v>
      </c>
      <c r="W9" s="64" cm="1">
        <f t="array" ref="W9">AVERAGE(IF((Table4[Machine]=Calculation!$O9),Table4[Average Running Hour]))</f>
        <v>0.36428819444444444</v>
      </c>
      <c r="X9" s="65" t="str">
        <v>BRDR2</v>
      </c>
      <c r="Y9" s="64">
        <v>0.37190972222222224</v>
      </c>
      <c r="Z9" s="64">
        <f>IF($X9&lt;&gt;Machine,$Y9,NA())</f>
        <v>0.37190972222222224</v>
      </c>
      <c r="AA9" s="64" t="e">
        <f>IF($X9=Machine,$Y9,NA())</f>
        <v>#N/A</v>
      </c>
    </row>
    <row r="10" spans="1:27" x14ac:dyDescent="0.35">
      <c r="A10" t="s">
        <v>11</v>
      </c>
      <c r="B10" s="3" cm="1">
        <f t="array" ref="B10">AVERAGE(IF((Table4[Machine]=A10),Table4[Productivity]))</f>
        <v>1.1844170670218335</v>
      </c>
      <c r="C10" t="str">
        <v>BRDR8</v>
      </c>
      <c r="D10" s="3">
        <v>1.2367154363055806</v>
      </c>
      <c r="E10" s="3">
        <f>IF($C10&lt;&gt;Machine,$D10,NA())</f>
        <v>1.2367154363055806</v>
      </c>
      <c r="F10" s="3" t="e">
        <f>IF($C10=Machine,$D10,NA())</f>
        <v>#N/A</v>
      </c>
      <c r="H10" t="s">
        <v>11</v>
      </c>
      <c r="I10" s="27" cm="1">
        <f t="array" ref="I10">AVERAGE(IF((Table4[Machine]=H10),Table4[Downtime]))</f>
        <v>0.16027777777777774</v>
      </c>
      <c r="J10" t="str">
        <v>BRDR8</v>
      </c>
      <c r="K10" s="27">
        <v>0.17138888888888887</v>
      </c>
      <c r="L10" s="27">
        <f>IF($J10&lt;&gt;Machine,$K10,NA())</f>
        <v>0.17138888888888887</v>
      </c>
      <c r="M10" s="27" t="e">
        <f>IF($J10=Machine,$K10,NA())</f>
        <v>#N/A</v>
      </c>
      <c r="O10" t="s">
        <v>11</v>
      </c>
      <c r="P10" s="56" cm="1">
        <f t="array" ref="P10">AVERAGE(IF((Table4[Machine]=Calculation!$O10),Table4[Total Running Hour]))</f>
        <v>9.7328703703703695E-2</v>
      </c>
      <c r="Q10" s="57" t="str">
        <v>BRDR3</v>
      </c>
      <c r="R10" s="56">
        <v>9.9652777777777798E-2</v>
      </c>
      <c r="S10" s="56">
        <f>IF($Q10&lt;&gt;Machine,$R10,NA())</f>
        <v>9.9652777777777798E-2</v>
      </c>
      <c r="T10" s="56" t="e">
        <f>IF($Q10=Machine,$R10,NA())</f>
        <v>#N/A</v>
      </c>
      <c r="V10" t="s">
        <v>11</v>
      </c>
      <c r="W10" s="64" cm="1">
        <f t="array" ref="W10">AVERAGE(IF((Table4[Machine]=Calculation!$O10),Table4[Average Running Hour]))</f>
        <v>0.36498263888888888</v>
      </c>
      <c r="X10" s="65" t="str">
        <v>BRDR3</v>
      </c>
      <c r="Y10" s="64">
        <v>0.37369791666666674</v>
      </c>
      <c r="Z10" s="64">
        <f>IF($X10&lt;&gt;Machine,$Y10,NA())</f>
        <v>0.37369791666666674</v>
      </c>
      <c r="AA10" s="64" t="e">
        <f>IF($X10=Machine,$Y10,NA())</f>
        <v>#N/A</v>
      </c>
    </row>
    <row r="13" spans="1:27" x14ac:dyDescent="0.35">
      <c r="I13" s="54" t="s">
        <v>43</v>
      </c>
      <c r="J13" s="54"/>
      <c r="K13" s="54"/>
      <c r="L13" s="54"/>
      <c r="M13" s="54"/>
      <c r="N13" s="54"/>
    </row>
    <row r="14" spans="1:27" ht="29" x14ac:dyDescent="0.35">
      <c r="A14" s="55" t="s">
        <v>15</v>
      </c>
      <c r="B14" s="55" t="s">
        <v>19</v>
      </c>
      <c r="C14" s="55"/>
      <c r="D14" s="55"/>
      <c r="E14" s="55"/>
      <c r="F14" s="55"/>
      <c r="G14" s="55"/>
      <c r="H14" s="55" t="s">
        <v>15</v>
      </c>
      <c r="I14" s="55" t="s">
        <v>12</v>
      </c>
      <c r="J14" s="55" t="s">
        <v>27</v>
      </c>
      <c r="K14" s="55" t="s">
        <v>28</v>
      </c>
      <c r="L14" s="55" t="s">
        <v>29</v>
      </c>
      <c r="M14" s="55" t="s">
        <v>30</v>
      </c>
      <c r="N14" s="55" t="s">
        <v>31</v>
      </c>
      <c r="O14" s="38"/>
      <c r="P14" s="38"/>
      <c r="Q14" s="38"/>
      <c r="R14" s="38"/>
      <c r="S14" s="38"/>
      <c r="T14" s="38"/>
      <c r="U14" s="38"/>
    </row>
    <row r="15" spans="1:27" ht="29" x14ac:dyDescent="0.35">
      <c r="A15" t="s">
        <v>3</v>
      </c>
      <c r="B15" cm="1">
        <f t="array" ref="B15">COUNT(IF((Table5[Machine]=A15)*(Table5[Downtime]&lt;&gt;0),Table5[Downtime]))</f>
        <v>5</v>
      </c>
      <c r="C15" t="str" cm="1">
        <f t="array" ref="C15:D23">_xlfn._xlws.SORT($A$15:$B$23,2,1)</f>
        <v>BRDR2</v>
      </c>
      <c r="D15">
        <v>2</v>
      </c>
      <c r="E15">
        <f>IF($C15&lt;&gt;Machine,$D15,NA())</f>
        <v>2</v>
      </c>
      <c r="F15" t="e">
        <f>IF($C15=Machine,$D15,NA())</f>
        <v>#N/A</v>
      </c>
      <c r="H15" t="s">
        <v>3</v>
      </c>
      <c r="I15" cm="1">
        <f t="array" ref="I15:N15">COUNTIFS(Table5[Machine],Calculation!H15,Table5[Downtime Cause],Calculation!$I$14:$N$14,Table5[Downtime],"&lt;&gt;0")</f>
        <v>1</v>
      </c>
      <c r="J15">
        <v>0</v>
      </c>
      <c r="K15">
        <v>4</v>
      </c>
      <c r="L15">
        <v>0</v>
      </c>
      <c r="M15">
        <v>0</v>
      </c>
      <c r="N15">
        <v>0</v>
      </c>
      <c r="P15" s="38" t="s">
        <v>12</v>
      </c>
      <c r="Q15">
        <f>I25</f>
        <v>2</v>
      </c>
      <c r="S15" s="38" t="str" cm="1">
        <f t="array" ref="S15:T20">_xlfn._xlws.SORT(P15:Q20,2,1)</f>
        <v>Jarum patah</v>
      </c>
      <c r="T15">
        <v>2</v>
      </c>
    </row>
    <row r="16" spans="1:27" ht="29" x14ac:dyDescent="0.35">
      <c r="A16" t="s">
        <v>4</v>
      </c>
      <c r="B16" cm="1">
        <f t="array" ref="B16">COUNT(IF((Table5[Machine]=A16)*(Table5[Downtime]&lt;&gt;0),Table5[Downtime]))</f>
        <v>2</v>
      </c>
      <c r="C16" t="str">
        <v>BRDR3</v>
      </c>
      <c r="D16">
        <v>2</v>
      </c>
      <c r="E16">
        <f>IF($C16&lt;&gt;Machine,$D16,NA())</f>
        <v>2</v>
      </c>
      <c r="F16" t="e">
        <f>IF($C16=Machine,$D16,NA())</f>
        <v>#N/A</v>
      </c>
      <c r="H16" t="s">
        <v>4</v>
      </c>
      <c r="I16" cm="1">
        <f t="array" ref="I16:N16">COUNTIFS(Table5[Machine],Calculation!H16,Table5[Downtime Cause],Calculation!$I$14:$N$14,Table5[Downtime],"&lt;&gt;0")</f>
        <v>0</v>
      </c>
      <c r="J16">
        <v>0</v>
      </c>
      <c r="K16">
        <v>1</v>
      </c>
      <c r="L16">
        <v>1</v>
      </c>
      <c r="M16">
        <v>0</v>
      </c>
      <c r="N16">
        <v>0</v>
      </c>
      <c r="P16" s="38" t="s">
        <v>27</v>
      </c>
      <c r="Q16">
        <f>J25</f>
        <v>7</v>
      </c>
      <c r="S16" s="38" t="str">
        <v>Sensor Lepas</v>
      </c>
      <c r="T16">
        <v>2</v>
      </c>
    </row>
    <row r="17" spans="1:20" ht="29" x14ac:dyDescent="0.35">
      <c r="A17" t="s">
        <v>5</v>
      </c>
      <c r="B17" cm="1">
        <f t="array" ref="B17">COUNT(IF((Table5[Machine]=A17)*(Table5[Downtime]&lt;&gt;0),Table5[Downtime]))</f>
        <v>2</v>
      </c>
      <c r="C17" t="str">
        <v>BRDR4</v>
      </c>
      <c r="D17">
        <v>3</v>
      </c>
      <c r="E17">
        <f>IF($C17&lt;&gt;Machine,$D17,NA())</f>
        <v>3</v>
      </c>
      <c r="F17" t="e">
        <f>IF($C17=Machine,$D17,NA())</f>
        <v>#N/A</v>
      </c>
      <c r="H17" t="s">
        <v>5</v>
      </c>
      <c r="I17" cm="1">
        <f t="array" ref="I17:N17">COUNTIFS(Table5[Machine],Calculation!H17,Table5[Downtime Cause],Calculation!$I$14:$N$14,Table5[Downtime],"&lt;&gt;0")</f>
        <v>0</v>
      </c>
      <c r="J17">
        <v>1</v>
      </c>
      <c r="K17">
        <v>0</v>
      </c>
      <c r="L17">
        <v>1</v>
      </c>
      <c r="M17">
        <v>0</v>
      </c>
      <c r="N17">
        <v>0</v>
      </c>
      <c r="P17" s="38" t="s">
        <v>28</v>
      </c>
      <c r="Q17">
        <f>K25</f>
        <v>13</v>
      </c>
      <c r="S17" s="38" t="str">
        <v>Benang Putus</v>
      </c>
      <c r="T17">
        <v>4</v>
      </c>
    </row>
    <row r="18" spans="1:20" ht="29" x14ac:dyDescent="0.35">
      <c r="A18" t="s">
        <v>6</v>
      </c>
      <c r="B18" cm="1">
        <f t="array" ref="B18">COUNT(IF((Table5[Machine]=A18)*(Table5[Downtime]&lt;&gt;0),Table5[Downtime]))</f>
        <v>3</v>
      </c>
      <c r="C18" t="str">
        <v>BRDR6</v>
      </c>
      <c r="D18">
        <v>3</v>
      </c>
      <c r="E18">
        <f>IF($C18&lt;&gt;Machine,$D18,NA())</f>
        <v>3</v>
      </c>
      <c r="F18" t="e">
        <f>IF($C18=Machine,$D18,NA())</f>
        <v>#N/A</v>
      </c>
      <c r="H18" t="s">
        <v>6</v>
      </c>
      <c r="I18" cm="1">
        <f t="array" ref="I18:N18">COUNTIFS(Table5[Machine],Calculation!H18,Table5[Downtime Cause],Calculation!$I$14:$N$14,Table5[Downtime],"&lt;&gt;0")</f>
        <v>0</v>
      </c>
      <c r="J18">
        <v>0</v>
      </c>
      <c r="K18">
        <v>1</v>
      </c>
      <c r="L18">
        <v>0</v>
      </c>
      <c r="M18">
        <v>1</v>
      </c>
      <c r="N18">
        <v>1</v>
      </c>
      <c r="P18" s="38" t="s">
        <v>29</v>
      </c>
      <c r="Q18">
        <f>L25</f>
        <v>4</v>
      </c>
      <c r="S18" s="38" t="str">
        <v>Bundet Bawah</v>
      </c>
      <c r="T18">
        <v>7</v>
      </c>
    </row>
    <row r="19" spans="1:20" ht="29" x14ac:dyDescent="0.35">
      <c r="A19" t="s">
        <v>7</v>
      </c>
      <c r="B19" cm="1">
        <f t="array" ref="B19">COUNT(IF((Table5[Machine]=A19)*(Table5[Downtime]&lt;&gt;0),Table5[Downtime]))</f>
        <v>5</v>
      </c>
      <c r="C19" t="str">
        <v>BRDR7</v>
      </c>
      <c r="D19">
        <v>3</v>
      </c>
      <c r="E19">
        <f>IF($C19&lt;&gt;Machine,$D19,NA())</f>
        <v>3</v>
      </c>
      <c r="F19" t="e">
        <f>IF($C19=Machine,$D19,NA())</f>
        <v>#N/A</v>
      </c>
      <c r="H19" t="s">
        <v>7</v>
      </c>
      <c r="I19" cm="1">
        <f t="array" ref="I19:N19">COUNTIFS(Table5[Machine],Calculation!H19,Table5[Downtime Cause],Calculation!$I$14:$N$14,Table5[Downtime],"&lt;&gt;0")</f>
        <v>0</v>
      </c>
      <c r="J19">
        <v>2</v>
      </c>
      <c r="K19">
        <v>1</v>
      </c>
      <c r="L19">
        <v>1</v>
      </c>
      <c r="M19">
        <v>0</v>
      </c>
      <c r="N19">
        <v>1</v>
      </c>
      <c r="P19" s="38" t="s">
        <v>30</v>
      </c>
      <c r="Q19">
        <f>M25</f>
        <v>2</v>
      </c>
      <c r="S19" s="38" t="str">
        <v>Mesin mati</v>
      </c>
      <c r="T19">
        <v>9</v>
      </c>
    </row>
    <row r="20" spans="1:20" ht="29" customHeight="1" x14ac:dyDescent="0.35">
      <c r="A20" t="s">
        <v>8</v>
      </c>
      <c r="B20" cm="1">
        <f t="array" ref="B20">COUNT(IF((Table5[Machine]=A20)*(Table5[Downtime]&lt;&gt;0),Table5[Downtime]))</f>
        <v>3</v>
      </c>
      <c r="C20" t="str">
        <v>BRDR1</v>
      </c>
      <c r="D20">
        <v>5</v>
      </c>
      <c r="E20">
        <f>IF($C20&lt;&gt;Machine,$D20,NA())</f>
        <v>5</v>
      </c>
      <c r="F20" t="e">
        <f>IF($C20=Machine,$D20,NA())</f>
        <v>#N/A</v>
      </c>
      <c r="H20" t="s">
        <v>8</v>
      </c>
      <c r="I20" cm="1">
        <f t="array" ref="I20:N20">COUNTIFS(Table5[Machine],Calculation!H20,Table5[Downtime Cause],Calculation!$I$14:$N$14,Table5[Downtime],"&lt;&gt;0")</f>
        <v>0</v>
      </c>
      <c r="J20">
        <v>0</v>
      </c>
      <c r="K20">
        <v>0</v>
      </c>
      <c r="L20">
        <v>0</v>
      </c>
      <c r="M20">
        <v>0</v>
      </c>
      <c r="N20">
        <v>3</v>
      </c>
      <c r="P20" s="38" t="s">
        <v>31</v>
      </c>
      <c r="Q20">
        <f>N25</f>
        <v>9</v>
      </c>
      <c r="S20" s="38" t="str">
        <v>Bundet Atas</v>
      </c>
      <c r="T20">
        <v>13</v>
      </c>
    </row>
    <row r="21" spans="1:20" ht="29" customHeight="1" x14ac:dyDescent="0.35">
      <c r="A21" t="s">
        <v>9</v>
      </c>
      <c r="B21" cm="1">
        <f t="array" ref="B21">COUNT(IF((Table5[Machine]=A21)*(Table5[Downtime]&lt;&gt;0),Table5[Downtime]))</f>
        <v>3</v>
      </c>
      <c r="C21" t="str">
        <v>BRDR5</v>
      </c>
      <c r="D21">
        <v>5</v>
      </c>
      <c r="E21" t="e">
        <f>IF($C21&lt;&gt;Machine,$D21,NA())</f>
        <v>#N/A</v>
      </c>
      <c r="F21">
        <f>IF($C21=Machine,$D21,NA())</f>
        <v>5</v>
      </c>
      <c r="H21" t="s">
        <v>9</v>
      </c>
      <c r="I21" cm="1">
        <f t="array" ref="I21:N21">COUNTIFS(Table5[Machine],Calculation!H21,Table5[Downtime Cause],Calculation!$I$14:$N$14,Table5[Downtime],"&lt;&gt;0")</f>
        <v>0</v>
      </c>
      <c r="J21">
        <v>2</v>
      </c>
      <c r="K21">
        <v>1</v>
      </c>
      <c r="L21">
        <v>0</v>
      </c>
      <c r="M21">
        <v>0</v>
      </c>
      <c r="N21">
        <v>0</v>
      </c>
    </row>
    <row r="22" spans="1:20" ht="29" customHeight="1" x14ac:dyDescent="0.35">
      <c r="A22" t="s">
        <v>10</v>
      </c>
      <c r="B22" cm="1">
        <f t="array" ref="B22">COUNT(IF((Table5[Machine]=A22)*(Table5[Downtime]&lt;&gt;0),Table5[Downtime]))</f>
        <v>7</v>
      </c>
      <c r="C22" t="str">
        <v>BRDR8</v>
      </c>
      <c r="D22">
        <v>7</v>
      </c>
      <c r="E22">
        <f>IF($C22&lt;&gt;Machine,$D22,NA())</f>
        <v>7</v>
      </c>
      <c r="F22" t="e">
        <f>IF($C22=Machine,$D22,NA())</f>
        <v>#N/A</v>
      </c>
      <c r="H22" t="s">
        <v>10</v>
      </c>
      <c r="I22" cm="1">
        <f t="array" ref="I22:N22">COUNTIFS(Table5[Machine],Calculation!H22,Table5[Downtime Cause],Calculation!$I$14:$N$14,Table5[Downtime],"&lt;&gt;0")</f>
        <v>1</v>
      </c>
      <c r="J22">
        <v>1</v>
      </c>
      <c r="K22">
        <v>3</v>
      </c>
      <c r="L22">
        <v>0</v>
      </c>
      <c r="M22">
        <v>0</v>
      </c>
      <c r="N22">
        <v>2</v>
      </c>
    </row>
    <row r="23" spans="1:20" ht="29" customHeight="1" x14ac:dyDescent="0.35">
      <c r="A23" t="s">
        <v>11</v>
      </c>
      <c r="B23" cm="1">
        <f t="array" ref="B23">COUNT(IF((Table5[Machine]=A23)*(Table5[Downtime]&lt;&gt;0),Table5[Downtime]))</f>
        <v>7</v>
      </c>
      <c r="C23" t="str">
        <v>BRDR9</v>
      </c>
      <c r="D23">
        <v>7</v>
      </c>
      <c r="E23">
        <f>IF($C23&lt;&gt;Machine,$D23,NA())</f>
        <v>7</v>
      </c>
      <c r="F23" t="e">
        <f>IF($C23=Machine,$D23,NA())</f>
        <v>#N/A</v>
      </c>
      <c r="H23" t="s">
        <v>11</v>
      </c>
      <c r="I23" cm="1">
        <f t="array" ref="I23:N23">COUNTIFS(Table5[Machine],Calculation!H23,Table5[Downtime Cause],Calculation!$I$14:$N$14,Table5[Downtime],"&lt;&gt;0")</f>
        <v>0</v>
      </c>
      <c r="J23">
        <v>1</v>
      </c>
      <c r="K23">
        <v>2</v>
      </c>
      <c r="L23">
        <v>1</v>
      </c>
      <c r="M23">
        <v>1</v>
      </c>
      <c r="N23">
        <v>2</v>
      </c>
    </row>
    <row r="25" spans="1:20" x14ac:dyDescent="0.35">
      <c r="H25" t="s">
        <v>23</v>
      </c>
      <c r="I25">
        <f>SUM(I15:I24)</f>
        <v>2</v>
      </c>
      <c r="J25">
        <f t="shared" ref="J25:N25" si="0">SUM(J15:J24)</f>
        <v>7</v>
      </c>
      <c r="K25">
        <f t="shared" si="0"/>
        <v>13</v>
      </c>
      <c r="L25">
        <f t="shared" si="0"/>
        <v>4</v>
      </c>
      <c r="M25">
        <f t="shared" si="0"/>
        <v>2</v>
      </c>
      <c r="N25">
        <f t="shared" si="0"/>
        <v>9</v>
      </c>
    </row>
    <row r="27" spans="1:20" x14ac:dyDescent="0.35">
      <c r="C27" s="29" cm="1">
        <f t="array" ref="C27">COUNT(IF((Table4[Machine]=Calculation!$H15)*(Table4[Downtime]&lt;&gt;0),#REF!,NA()))</f>
        <v>0</v>
      </c>
    </row>
    <row r="28" spans="1:20" x14ac:dyDescent="0.35">
      <c r="C28" s="29" cm="1">
        <f t="array" ref="C28">COUNT(IF((Table4[Machine]=Calculation!$H16)*(Table4[Downtime]&lt;&gt;0)*(ISNUMBER(SEARCH(I16:I25,#REF!))),#REF!))</f>
        <v>0</v>
      </c>
    </row>
    <row r="29" spans="1:20" x14ac:dyDescent="0.35">
      <c r="C29" s="29" cm="1">
        <f t="array" ref="C29">COUNT(IF((Table4[Machine]=Calculation!$H17)*(Table4[Downtime]&lt;&gt;0)*(ISNUMBER(SEARCH(I17:I26,#REF!))),#REF!))</f>
        <v>0</v>
      </c>
    </row>
    <row r="30" spans="1:20" x14ac:dyDescent="0.35">
      <c r="C30" s="29" cm="1">
        <f t="array" ref="C30">COUNT(IF((Table4[Machine]=Calculation!$H18)*(Table4[Downtime]&lt;&gt;0)*(ISNUMBER(SEARCH(I18:I27,#REF!))),#REF!))</f>
        <v>0</v>
      </c>
    </row>
    <row r="31" spans="1:20" x14ac:dyDescent="0.35">
      <c r="C31" s="29" cm="1">
        <f t="array" ref="C31">COUNT(IF((Table4[Machine]=Calculation!$H19)*(Table4[Downtime]&lt;&gt;0)*(ISNUMBER(SEARCH(I19:I28,#REF!))),#REF!))</f>
        <v>0</v>
      </c>
    </row>
    <row r="32" spans="1:20" x14ac:dyDescent="0.35">
      <c r="C32" s="29" cm="1">
        <f t="array" ref="C32">COUNT(IF((Table4[Machine]=Calculation!$H20)*(Table4[Downtime]&lt;&gt;0)*(ISNUMBER(SEARCH(I20:I29,#REF!))),#REF!))</f>
        <v>0</v>
      </c>
    </row>
    <row r="33" spans="3:3" x14ac:dyDescent="0.35">
      <c r="C33" s="29" cm="1">
        <f t="array" ref="C33">COUNT(IF((Table4[Machine]=Calculation!$H21)*(Table4[Downtime]&lt;&gt;0)*(ISNUMBER(SEARCH(I21:I30,#REF!))),#REF!))</f>
        <v>0</v>
      </c>
    </row>
    <row r="34" spans="3:3" x14ac:dyDescent="0.35">
      <c r="C34" s="29" cm="1">
        <f t="array" ref="C34">COUNT(IF((Table4[Machine]=Calculation!$H22)*(Table4[Downtime]&lt;&gt;0)*(ISNUMBER(SEARCH(I22:I31,#REF!))),#REF!))</f>
        <v>0</v>
      </c>
    </row>
    <row r="35" spans="3:3" x14ac:dyDescent="0.35">
      <c r="C35" s="29" cm="1">
        <f t="array" ref="C35">COUNT(IF((Table4[Machine]=Calculation!$H23)*(Table4[Downtime]&lt;&gt;0)*(ISNUMBER(SEARCH(I23:I32,#REF!))),#REF!))</f>
        <v>0</v>
      </c>
    </row>
    <row r="36" spans="3:3" x14ac:dyDescent="0.35">
      <c r="C36" s="29" cm="1">
        <f t="array" ref="C36">COUNT(IF((Table4[Machine]=Calculation!$H24)*(Table4[Downtime]&lt;&gt;0)*(ISNUMBER(SEARCH(I24:I33,#REF!))),#REF!))</f>
        <v>0</v>
      </c>
    </row>
  </sheetData>
  <sortState xmlns:xlrd2="http://schemas.microsoft.com/office/spreadsheetml/2017/richdata2" ref="A3:A10">
    <sortCondition descending="1" ref="A2:A10"/>
  </sortState>
  <mergeCells count="1">
    <mergeCell ref="I13:N1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14CC-925B-4E53-9B50-41E760B43572}">
  <dimension ref="A1:J10"/>
  <sheetViews>
    <sheetView workbookViewId="0">
      <selection activeCell="J7" sqref="J7"/>
    </sheetView>
  </sheetViews>
  <sheetFormatPr defaultRowHeight="14.5" x14ac:dyDescent="0.35"/>
  <cols>
    <col min="1" max="1" width="10" customWidth="1"/>
    <col min="4" max="4" width="11.54296875" customWidth="1"/>
    <col min="5" max="6" width="14.1796875" customWidth="1"/>
    <col min="7" max="7" width="9.453125" customWidth="1"/>
    <col min="8" max="8" width="12.90625" customWidth="1"/>
  </cols>
  <sheetData>
    <row r="1" spans="1:8" x14ac:dyDescent="0.35">
      <c r="A1" s="52" t="s">
        <v>15</v>
      </c>
      <c r="B1" s="52" t="s">
        <v>0</v>
      </c>
      <c r="C1" s="52" t="s">
        <v>1</v>
      </c>
      <c r="D1" s="52" t="s">
        <v>13</v>
      </c>
      <c r="E1" s="52" t="s">
        <v>44</v>
      </c>
      <c r="F1" s="52" t="s">
        <v>45</v>
      </c>
      <c r="G1" s="52" t="s">
        <v>16</v>
      </c>
      <c r="H1" s="52" t="s">
        <v>14</v>
      </c>
    </row>
    <row r="2" spans="1:8" x14ac:dyDescent="0.35">
      <c r="A2" s="52" t="s">
        <v>3</v>
      </c>
      <c r="B2" s="41">
        <v>0.33333333333333331</v>
      </c>
      <c r="C2" s="41">
        <v>0.70833333333333337</v>
      </c>
      <c r="D2" s="42" cm="1">
        <f t="array" ref="D2">SUM(IF((Table4[[#This Row],[Machine]]=Table5[Machine]),Table5[Downtime]))</f>
        <v>8.9444444444444438E-2</v>
      </c>
      <c r="E2" s="42">
        <f>'Daily Performance Monitoring '!BF4</f>
        <v>9.8509259259259269E-2</v>
      </c>
      <c r="F2" s="64">
        <f>'Daily Performance Monitoring '!BG4</f>
        <v>0.36940972222222224</v>
      </c>
      <c r="G2" s="44">
        <f>'Daily Performance Monitoring '!BH4</f>
        <v>167</v>
      </c>
      <c r="H2" s="45">
        <f>Table4[[#This Row],[Product]]/Table4[[#This Row],[Total Running Hour]]/1440</f>
        <v>1.1772723000281979</v>
      </c>
    </row>
    <row r="3" spans="1:8" x14ac:dyDescent="0.35">
      <c r="A3" s="52" t="s">
        <v>4</v>
      </c>
      <c r="B3" s="41">
        <v>0.33333333333333331</v>
      </c>
      <c r="C3" s="41">
        <v>0.70833333333333337</v>
      </c>
      <c r="D3" s="42" cm="1">
        <f t="array" ref="D3">SUM(IF((Table4[[#This Row],[Machine]]=Table5[Machine]),Table5[Downtime]))</f>
        <v>4.9444444444444458E-2</v>
      </c>
      <c r="E3" s="42">
        <f>'Daily Performance Monitoring '!BF5</f>
        <v>9.9175925925925931E-2</v>
      </c>
      <c r="F3" s="64">
        <f>'Daily Performance Monitoring '!BG5</f>
        <v>0.37190972222222224</v>
      </c>
      <c r="G3" s="44">
        <f>'Daily Performance Monitoring '!BH5</f>
        <v>166</v>
      </c>
      <c r="H3" s="53">
        <f>Table4[[#This Row],[Product]]/Table4[[#This Row],[Total Running Hour]]/1440</f>
        <v>1.1623564559798338</v>
      </c>
    </row>
    <row r="4" spans="1:8" x14ac:dyDescent="0.35">
      <c r="A4" s="52" t="s">
        <v>5</v>
      </c>
      <c r="B4" s="41">
        <v>0.33333333333333298</v>
      </c>
      <c r="C4" s="41">
        <v>0.70833333333333304</v>
      </c>
      <c r="D4" s="42" cm="1">
        <f t="array" ref="D4">SUM(IF((Table4[[#This Row],[Machine]]=Table5[Machine]),Table5[Downtime]))</f>
        <v>2.083333333333337E-2</v>
      </c>
      <c r="E4" s="42">
        <f>'Daily Performance Monitoring '!BF6</f>
        <v>9.9652777777777798E-2</v>
      </c>
      <c r="F4" s="64">
        <f>'Daily Performance Monitoring '!BG6</f>
        <v>0.37369791666666674</v>
      </c>
      <c r="G4" s="44">
        <f>'Daily Performance Monitoring '!BH6</f>
        <v>168</v>
      </c>
      <c r="H4" s="53">
        <f>Table4[[#This Row],[Product]]/Table4[[#This Row],[Total Running Hour]]/1440</f>
        <v>1.1707317073170729</v>
      </c>
    </row>
    <row r="5" spans="1:8" x14ac:dyDescent="0.35">
      <c r="A5" s="52" t="s">
        <v>6</v>
      </c>
      <c r="B5" s="41">
        <v>0.33333333333333298</v>
      </c>
      <c r="C5" s="41">
        <v>0.70833333333333304</v>
      </c>
      <c r="D5" s="42" cm="1">
        <f t="array" ref="D5">SUM(IF((Table4[[#This Row],[Machine]]=Table5[Machine]),Table5[Downtime]))</f>
        <v>5.1388888888888928E-2</v>
      </c>
      <c r="E5" s="42">
        <f>'Daily Performance Monitoring '!BF7</f>
        <v>9.914351851851852E-2</v>
      </c>
      <c r="F5" s="64">
        <f>'Daily Performance Monitoring '!BG7</f>
        <v>0.37178819444444444</v>
      </c>
      <c r="G5" s="44">
        <f>'Daily Performance Monitoring '!BH7</f>
        <v>164</v>
      </c>
      <c r="H5" s="53">
        <f>Table4[[#This Row],[Product]]/Table4[[#This Row],[Total Running Hour]]/1440</f>
        <v>1.1487275274340416</v>
      </c>
    </row>
    <row r="6" spans="1:8" x14ac:dyDescent="0.35">
      <c r="A6" s="52" t="s">
        <v>7</v>
      </c>
      <c r="B6" s="41">
        <v>0.33333333333333298</v>
      </c>
      <c r="C6" s="41">
        <v>0.70833333333333304</v>
      </c>
      <c r="D6" s="42" cm="1">
        <f t="array" ref="D6">SUM(IF((Table4[[#This Row],[Machine]]=Table5[Machine]),Table5[Downtime]))</f>
        <v>8.1388888888888899E-2</v>
      </c>
      <c r="E6" s="42">
        <f>'Daily Performance Monitoring '!BF8</f>
        <v>9.8643518518518533E-2</v>
      </c>
      <c r="F6" s="64">
        <f>'Daily Performance Monitoring '!BG8</f>
        <v>0.36991319444444448</v>
      </c>
      <c r="G6" s="44">
        <f>'Daily Performance Monitoring '!BH8</f>
        <v>170</v>
      </c>
      <c r="H6" s="53">
        <f>Table4[[#This Row],[Product]]/Table4[[#This Row],[Total Running Hour]]/1440</f>
        <v>1.196789787393814</v>
      </c>
    </row>
    <row r="7" spans="1:8" x14ac:dyDescent="0.35">
      <c r="A7" s="52" t="s">
        <v>8</v>
      </c>
      <c r="B7" s="41">
        <v>0.33333333333333298</v>
      </c>
      <c r="C7" s="41">
        <v>0.70833333333333304</v>
      </c>
      <c r="D7" s="42" cm="1">
        <f t="array" ref="D7">SUM(IF((Table4[[#This Row],[Machine]]=Table5[Machine]),Table5[Downtime]))</f>
        <v>6.8333333333333357E-2</v>
      </c>
      <c r="E7" s="42">
        <f>'Daily Performance Monitoring '!BF9</f>
        <v>9.8861111111111122E-2</v>
      </c>
      <c r="F7" s="64">
        <f>'Daily Performance Monitoring '!BG9</f>
        <v>0.37072916666666672</v>
      </c>
      <c r="G7" s="44">
        <f>'Daily Performance Monitoring '!BH9</f>
        <v>170</v>
      </c>
      <c r="H7" s="53">
        <f>Table4[[#This Row],[Product]]/Table4[[#This Row],[Total Running Hour]]/1440</f>
        <v>1.1941556617027254</v>
      </c>
    </row>
    <row r="8" spans="1:8" x14ac:dyDescent="0.35">
      <c r="A8" s="52" t="s">
        <v>9</v>
      </c>
      <c r="B8" s="41">
        <v>0.33333333333333298</v>
      </c>
      <c r="C8" s="41">
        <v>0.70833333333333304</v>
      </c>
      <c r="D8" s="42" cm="1">
        <f t="array" ref="D8">SUM(IF((Table4[[#This Row],[Machine]]=Table5[Machine]),Table5[Downtime]))</f>
        <v>8.4999999999999964E-2</v>
      </c>
      <c r="E8" s="42">
        <f>'Daily Performance Monitoring '!BF10</f>
        <v>9.8583333333333342E-2</v>
      </c>
      <c r="F8" s="64">
        <f>'Daily Performance Monitoring '!BG10</f>
        <v>0.36968750000000006</v>
      </c>
      <c r="G8" s="44">
        <f>'Daily Performance Monitoring '!BH10</f>
        <v>171</v>
      </c>
      <c r="H8" s="53">
        <f>Table4[[#This Row],[Product]]/Table4[[#This Row],[Total Running Hour]]/1440</f>
        <v>1.2045646661031275</v>
      </c>
    </row>
    <row r="9" spans="1:8" x14ac:dyDescent="0.35">
      <c r="A9" s="52" t="s">
        <v>10</v>
      </c>
      <c r="B9" s="41">
        <v>0.33333333333333298</v>
      </c>
      <c r="C9" s="41">
        <v>0.70833333333333304</v>
      </c>
      <c r="D9" s="42" cm="1">
        <f t="array" ref="D9">SUM(IF((Table4[[#This Row],[Machine]]=Table5[Machine]),Table5[Downtime]))</f>
        <v>0.17138888888888887</v>
      </c>
      <c r="E9" s="42">
        <f>'Daily Performance Monitoring '!BF11</f>
        <v>9.7143518518518518E-2</v>
      </c>
      <c r="F9" s="64">
        <f>'Daily Performance Monitoring '!BG11</f>
        <v>0.36428819444444444</v>
      </c>
      <c r="G9" s="44">
        <f>'Daily Performance Monitoring '!BH11</f>
        <v>173</v>
      </c>
      <c r="H9" s="53">
        <f>Table4[[#This Row],[Product]]/Table4[[#This Row],[Total Running Hour]]/1440</f>
        <v>1.2367154363055806</v>
      </c>
    </row>
    <row r="10" spans="1:8" x14ac:dyDescent="0.35">
      <c r="A10" s="52" t="s">
        <v>11</v>
      </c>
      <c r="B10" s="41">
        <v>0.33333333333333298</v>
      </c>
      <c r="C10" s="41">
        <v>0.70833333333333304</v>
      </c>
      <c r="D10" s="42" cm="1">
        <f t="array" ref="D10">SUM(IF((Table4[[#This Row],[Machine]]=Table5[Machine]),Table5[Downtime]))</f>
        <v>0.16027777777777774</v>
      </c>
      <c r="E10" s="42">
        <f>'Daily Performance Monitoring '!BF12</f>
        <v>9.7328703703703695E-2</v>
      </c>
      <c r="F10" s="64">
        <f>'Daily Performance Monitoring '!BG12</f>
        <v>0.36498263888888888</v>
      </c>
      <c r="G10" s="44">
        <f>'Daily Performance Monitoring '!BH12</f>
        <v>166</v>
      </c>
      <c r="H10" s="53">
        <f>Table4[[#This Row],[Product]]/Table4[[#This Row],[Total Running Hour]]/1440</f>
        <v>1.1844170670218335</v>
      </c>
    </row>
  </sheetData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8C6C644-5B28-47F1-9044-19E96CFEDA6D}">
          <x14:formula1>
            <xm:f>Refference!$B$2:$B$11</xm:f>
          </x14:formula1>
          <xm:sqref>A3:A10</xm:sqref>
        </x14:dataValidation>
        <x14:dataValidation type="list" allowBlank="1" showInputMessage="1" showErrorMessage="1" xr:uid="{6787CB58-9B0B-403E-870B-5DAE206AEF27}">
          <x14:formula1>
            <xm:f>Refference!$B$2:$B$10</xm:f>
          </x14:formula1>
          <xm:sqref>A2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E0E8-6B15-4D72-9A19-AADE1BB99447}">
  <dimension ref="A1:BI24"/>
  <sheetViews>
    <sheetView showGridLines="0" topLeftCell="AO1" zoomScale="65" zoomScaleNormal="65" workbookViewId="0">
      <selection activeCell="BG4" sqref="BG4"/>
    </sheetView>
  </sheetViews>
  <sheetFormatPr defaultRowHeight="14.5" x14ac:dyDescent="0.35"/>
  <cols>
    <col min="1" max="1" width="21.1796875" style="4" customWidth="1"/>
    <col min="2" max="2" width="8.6328125" style="2" customWidth="1"/>
    <col min="3" max="3" width="11.36328125" style="1" customWidth="1"/>
    <col min="4" max="4" width="11.36328125" customWidth="1"/>
    <col min="5" max="5" width="14.1796875" bestFit="1" customWidth="1"/>
    <col min="6" max="6" width="11.36328125" customWidth="1"/>
    <col min="7" max="7" width="13.26953125" bestFit="1" customWidth="1"/>
    <col min="8" max="9" width="11.36328125" style="1" customWidth="1"/>
    <col min="10" max="10" width="11.36328125" customWidth="1"/>
    <col min="11" max="11" width="14.1796875" bestFit="1" customWidth="1"/>
    <col min="12" max="12" width="12.453125" customWidth="1"/>
    <col min="13" max="13" width="13.26953125" bestFit="1" customWidth="1"/>
    <col min="14" max="15" width="12.453125" style="1" customWidth="1"/>
    <col min="16" max="16" width="12.453125" customWidth="1"/>
    <col min="17" max="17" width="14.1796875" bestFit="1" customWidth="1"/>
    <col min="18" max="18" width="12.453125" customWidth="1"/>
    <col min="19" max="19" width="13.26953125" bestFit="1" customWidth="1"/>
    <col min="20" max="21" width="12.453125" style="1" customWidth="1"/>
    <col min="22" max="22" width="12.453125" customWidth="1"/>
    <col min="23" max="23" width="14.1796875" bestFit="1" customWidth="1"/>
    <col min="24" max="24" width="12.453125" customWidth="1"/>
    <col min="25" max="25" width="13.26953125" bestFit="1" customWidth="1"/>
    <col min="26" max="27" width="12.453125" style="1" customWidth="1"/>
    <col min="28" max="28" width="12.453125" customWidth="1"/>
    <col min="29" max="29" width="14.1796875" bestFit="1" customWidth="1"/>
    <col min="30" max="30" width="12.453125" customWidth="1"/>
    <col min="31" max="31" width="13.26953125" bestFit="1" customWidth="1"/>
    <col min="32" max="33" width="12.453125" style="1" customWidth="1"/>
    <col min="34" max="34" width="12.453125" customWidth="1"/>
    <col min="35" max="35" width="14.1796875" bestFit="1" customWidth="1"/>
    <col min="36" max="36" width="12.453125" customWidth="1"/>
    <col min="37" max="37" width="13.26953125" bestFit="1" customWidth="1"/>
    <col min="38" max="39" width="12.453125" style="1" customWidth="1"/>
    <col min="40" max="40" width="12.453125" customWidth="1"/>
    <col min="41" max="41" width="14.1796875" bestFit="1" customWidth="1"/>
    <col min="42" max="42" width="12.453125" customWidth="1"/>
    <col min="43" max="43" width="13.26953125" bestFit="1" customWidth="1"/>
    <col min="44" max="45" width="12.453125" style="1" customWidth="1"/>
    <col min="46" max="46" width="12.453125" customWidth="1"/>
    <col min="47" max="47" width="14.1796875" bestFit="1" customWidth="1"/>
    <col min="48" max="48" width="12.453125" customWidth="1"/>
    <col min="49" max="49" width="13.26953125" bestFit="1" customWidth="1"/>
    <col min="50" max="51" width="12.453125" style="1" customWidth="1"/>
    <col min="52" max="52" width="12.453125" customWidth="1"/>
    <col min="53" max="53" width="14.1796875" bestFit="1" customWidth="1"/>
    <col min="54" max="54" width="12.453125" customWidth="1"/>
    <col min="55" max="55" width="13.26953125" bestFit="1" customWidth="1"/>
    <col min="60" max="60" width="7.6328125" customWidth="1"/>
    <col min="61" max="61" width="13.1796875" customWidth="1"/>
  </cols>
  <sheetData>
    <row r="1" spans="1:61" ht="15.5" x14ac:dyDescent="0.35">
      <c r="A1" s="21" t="s">
        <v>46</v>
      </c>
      <c r="B1" s="25" t="s">
        <v>2</v>
      </c>
      <c r="C1" s="26" t="s">
        <v>47</v>
      </c>
      <c r="D1" s="26" t="s">
        <v>48</v>
      </c>
      <c r="E1" s="26" t="s">
        <v>49</v>
      </c>
      <c r="F1" s="26" t="s">
        <v>50</v>
      </c>
      <c r="G1" s="26" t="s">
        <v>51</v>
      </c>
      <c r="H1" s="26" t="s">
        <v>52</v>
      </c>
      <c r="I1" s="26" t="s">
        <v>53</v>
      </c>
      <c r="J1" s="26" t="s">
        <v>54</v>
      </c>
      <c r="K1" s="26" t="s">
        <v>55</v>
      </c>
      <c r="L1" s="26" t="s">
        <v>56</v>
      </c>
      <c r="M1" s="26" t="s">
        <v>57</v>
      </c>
      <c r="N1" s="26" t="s">
        <v>58</v>
      </c>
      <c r="O1" s="26" t="s">
        <v>59</v>
      </c>
      <c r="P1" s="26" t="s">
        <v>60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65</v>
      </c>
      <c r="V1" s="26" t="s">
        <v>66</v>
      </c>
      <c r="W1" s="26" t="s">
        <v>67</v>
      </c>
      <c r="X1" s="26" t="s">
        <v>68</v>
      </c>
      <c r="Y1" s="26" t="s">
        <v>69</v>
      </c>
      <c r="Z1" s="26" t="s">
        <v>70</v>
      </c>
      <c r="AA1" s="26" t="s">
        <v>71</v>
      </c>
      <c r="AB1" s="26" t="s">
        <v>72</v>
      </c>
      <c r="AC1" s="26" t="s">
        <v>73</v>
      </c>
      <c r="AD1" s="26" t="s">
        <v>74</v>
      </c>
      <c r="AE1" s="26" t="s">
        <v>75</v>
      </c>
      <c r="AF1" s="26" t="s">
        <v>76</v>
      </c>
      <c r="AG1" s="26" t="s">
        <v>77</v>
      </c>
      <c r="AH1" s="26" t="s">
        <v>78</v>
      </c>
      <c r="AI1" s="26" t="s">
        <v>79</v>
      </c>
      <c r="AJ1" s="26" t="s">
        <v>80</v>
      </c>
      <c r="AK1" s="26" t="s">
        <v>81</v>
      </c>
      <c r="AL1" s="26" t="s">
        <v>82</v>
      </c>
      <c r="AM1" s="26" t="s">
        <v>83</v>
      </c>
      <c r="AN1" s="26" t="s">
        <v>84</v>
      </c>
      <c r="AO1" s="26" t="s">
        <v>85</v>
      </c>
      <c r="AP1" s="26" t="s">
        <v>86</v>
      </c>
      <c r="AQ1" s="26" t="s">
        <v>87</v>
      </c>
      <c r="AR1" s="26" t="s">
        <v>88</v>
      </c>
      <c r="AS1" s="26" t="s">
        <v>89</v>
      </c>
      <c r="AT1" s="26" t="s">
        <v>90</v>
      </c>
      <c r="AU1" s="26" t="s">
        <v>91</v>
      </c>
      <c r="AV1" s="26" t="s">
        <v>92</v>
      </c>
      <c r="AW1" s="26" t="s">
        <v>93</v>
      </c>
      <c r="AX1" s="26" t="s">
        <v>94</v>
      </c>
      <c r="AY1" s="26" t="s">
        <v>95</v>
      </c>
      <c r="AZ1" s="26" t="s">
        <v>96</v>
      </c>
      <c r="BA1" s="26" t="s">
        <v>97</v>
      </c>
      <c r="BB1" s="26" t="s">
        <v>98</v>
      </c>
      <c r="BC1" s="26" t="s">
        <v>99</v>
      </c>
    </row>
    <row r="2" spans="1:61" ht="16" thickBot="1" x14ac:dyDescent="0.4">
      <c r="A2" s="21"/>
      <c r="B2" s="22" t="s">
        <v>3</v>
      </c>
      <c r="C2" s="23"/>
      <c r="D2" s="23"/>
      <c r="E2" s="23"/>
      <c r="F2" s="24"/>
      <c r="G2" s="20"/>
      <c r="H2" s="22" t="s">
        <v>4</v>
      </c>
      <c r="I2" s="23"/>
      <c r="J2" s="23"/>
      <c r="K2" s="23"/>
      <c r="L2" s="23"/>
      <c r="M2" s="24"/>
      <c r="N2" s="22" t="s">
        <v>5</v>
      </c>
      <c r="O2" s="23"/>
      <c r="P2" s="23"/>
      <c r="Q2" s="23"/>
      <c r="R2" s="23"/>
      <c r="S2" s="24"/>
      <c r="T2" s="22" t="s">
        <v>6</v>
      </c>
      <c r="U2" s="23"/>
      <c r="V2" s="23"/>
      <c r="W2" s="23"/>
      <c r="X2" s="23"/>
      <c r="Y2" s="24"/>
      <c r="Z2" s="22" t="s">
        <v>7</v>
      </c>
      <c r="AA2" s="23"/>
      <c r="AB2" s="23"/>
      <c r="AC2" s="23"/>
      <c r="AD2" s="23"/>
      <c r="AE2" s="24"/>
      <c r="AF2" s="22" t="s">
        <v>8</v>
      </c>
      <c r="AG2" s="23"/>
      <c r="AH2" s="23"/>
      <c r="AI2" s="23"/>
      <c r="AJ2" s="23"/>
      <c r="AK2" s="24"/>
      <c r="AL2" s="22" t="s">
        <v>9</v>
      </c>
      <c r="AM2" s="23"/>
      <c r="AN2" s="23"/>
      <c r="AO2" s="23"/>
      <c r="AP2" s="23"/>
      <c r="AQ2" s="24"/>
      <c r="AR2" s="22" t="s">
        <v>10</v>
      </c>
      <c r="AS2" s="23"/>
      <c r="AT2" s="23"/>
      <c r="AU2" s="23"/>
      <c r="AV2" s="23"/>
      <c r="AW2" s="24"/>
      <c r="AX2" s="22" t="s">
        <v>11</v>
      </c>
      <c r="AY2" s="23"/>
      <c r="AZ2" s="23"/>
      <c r="BA2" s="23"/>
      <c r="BB2" s="23"/>
      <c r="BC2" s="24"/>
    </row>
    <row r="3" spans="1:61" s="48" customFormat="1" ht="44" thickBot="1" x14ac:dyDescent="0.4">
      <c r="A3" s="46"/>
      <c r="B3" s="47" t="s">
        <v>0</v>
      </c>
      <c r="C3" s="47" t="s">
        <v>1</v>
      </c>
      <c r="D3" s="47" t="s">
        <v>38</v>
      </c>
      <c r="E3" s="47" t="s">
        <v>39</v>
      </c>
      <c r="F3" s="47" t="s">
        <v>40</v>
      </c>
      <c r="G3" s="47" t="s">
        <v>41</v>
      </c>
      <c r="H3" s="47" t="s">
        <v>0</v>
      </c>
      <c r="I3" s="47" t="s">
        <v>1</v>
      </c>
      <c r="J3" s="47" t="s">
        <v>38</v>
      </c>
      <c r="K3" s="47" t="s">
        <v>39</v>
      </c>
      <c r="L3" s="47" t="s">
        <v>40</v>
      </c>
      <c r="M3" s="47" t="s">
        <v>41</v>
      </c>
      <c r="N3" s="47" t="s">
        <v>0</v>
      </c>
      <c r="O3" s="47" t="s">
        <v>1</v>
      </c>
      <c r="P3" s="47" t="s">
        <v>38</v>
      </c>
      <c r="Q3" s="47" t="s">
        <v>39</v>
      </c>
      <c r="R3" s="47" t="s">
        <v>40</v>
      </c>
      <c r="S3" s="47" t="s">
        <v>41</v>
      </c>
      <c r="T3" s="47" t="s">
        <v>0</v>
      </c>
      <c r="U3" s="47" t="s">
        <v>1</v>
      </c>
      <c r="V3" s="47" t="s">
        <v>38</v>
      </c>
      <c r="W3" s="47" t="s">
        <v>39</v>
      </c>
      <c r="X3" s="47" t="s">
        <v>40</v>
      </c>
      <c r="Y3" s="47" t="s">
        <v>41</v>
      </c>
      <c r="Z3" s="47" t="s">
        <v>0</v>
      </c>
      <c r="AA3" s="47" t="s">
        <v>1</v>
      </c>
      <c r="AB3" s="47" t="s">
        <v>38</v>
      </c>
      <c r="AC3" s="47" t="s">
        <v>39</v>
      </c>
      <c r="AD3" s="47" t="s">
        <v>40</v>
      </c>
      <c r="AE3" s="47" t="s">
        <v>41</v>
      </c>
      <c r="AF3" s="47" t="s">
        <v>0</v>
      </c>
      <c r="AG3" s="47" t="s">
        <v>1</v>
      </c>
      <c r="AH3" s="47" t="s">
        <v>38</v>
      </c>
      <c r="AI3" s="47" t="s">
        <v>39</v>
      </c>
      <c r="AJ3" s="47" t="s">
        <v>40</v>
      </c>
      <c r="AK3" s="47" t="s">
        <v>41</v>
      </c>
      <c r="AL3" s="47" t="s">
        <v>0</v>
      </c>
      <c r="AM3" s="47" t="s">
        <v>1</v>
      </c>
      <c r="AN3" s="47" t="s">
        <v>38</v>
      </c>
      <c r="AO3" s="47" t="s">
        <v>39</v>
      </c>
      <c r="AP3" s="47" t="s">
        <v>40</v>
      </c>
      <c r="AQ3" s="47" t="s">
        <v>41</v>
      </c>
      <c r="AR3" s="47" t="s">
        <v>0</v>
      </c>
      <c r="AS3" s="47" t="s">
        <v>1</v>
      </c>
      <c r="AT3" s="47" t="s">
        <v>38</v>
      </c>
      <c r="AU3" s="47" t="s">
        <v>39</v>
      </c>
      <c r="AV3" s="47" t="s">
        <v>40</v>
      </c>
      <c r="AW3" s="47" t="s">
        <v>41</v>
      </c>
      <c r="AX3" s="47" t="s">
        <v>0</v>
      </c>
      <c r="AY3" s="47" t="s">
        <v>1</v>
      </c>
      <c r="AZ3" s="47" t="s">
        <v>38</v>
      </c>
      <c r="BA3" s="47" t="s">
        <v>39</v>
      </c>
      <c r="BB3" s="47" t="s">
        <v>40</v>
      </c>
      <c r="BC3" s="47" t="s">
        <v>41</v>
      </c>
      <c r="BE3" s="60" t="s">
        <v>15</v>
      </c>
      <c r="BF3" s="61" t="s">
        <v>100</v>
      </c>
      <c r="BG3" s="61" t="s">
        <v>45</v>
      </c>
      <c r="BH3" s="61" t="s">
        <v>40</v>
      </c>
      <c r="BI3" s="62" t="s">
        <v>41</v>
      </c>
    </row>
    <row r="4" spans="1:61" x14ac:dyDescent="0.35">
      <c r="A4" s="10">
        <v>45901</v>
      </c>
      <c r="B4" s="11">
        <v>0.33333333333333331</v>
      </c>
      <c r="C4" s="12">
        <v>0.70833333333333337</v>
      </c>
      <c r="D4" s="19" cm="1">
        <f t="array" ref="D4">SUM(IF((Table3[[#This Row],[TanggaK Produksi]]=Table5[Date])*('Daily Performance Monitoring '!$B$2=Table5[Machine]),Table5[Downtime]))</f>
        <v>2.083333333333337E-2</v>
      </c>
      <c r="E4" s="18">
        <f>C4-B4-D4</f>
        <v>0.35416666666666669</v>
      </c>
      <c r="F4" s="16">
        <v>9</v>
      </c>
      <c r="G4" s="17">
        <f>F4/E4/24</f>
        <v>1.0588235294117647</v>
      </c>
      <c r="H4" s="11">
        <v>0.33333333333333331</v>
      </c>
      <c r="I4" s="12">
        <v>0.70833333333333337</v>
      </c>
      <c r="J4" s="19" cm="1">
        <f t="array" ref="J4">SUM(IF((Table3[[#This Row],[TanggaK Produksi]]=Table5[Date])*('Daily Performance Monitoring '!$H$2=Table5[Machine]),Table5[Downtime]))</f>
        <v>1.3888888888888895E-2</v>
      </c>
      <c r="K4" s="18">
        <f t="shared" ref="K4:K19" si="0">I4-H4-J4</f>
        <v>0.36111111111111116</v>
      </c>
      <c r="L4" s="16">
        <v>11</v>
      </c>
      <c r="M4" s="17">
        <f>L4/K4/24</f>
        <v>1.2692307692307689</v>
      </c>
      <c r="N4" s="11">
        <v>0.33333333333333331</v>
      </c>
      <c r="O4" s="12">
        <v>0.70833333333333337</v>
      </c>
      <c r="P4" s="19" cm="1">
        <f t="array" ref="P4">SUM(IF((Table3[[#This Row],[TanggaK Produksi]]=Table5[Date])*('Daily Performance Monitoring '!$N$2=Table5[Machine]),Table5[Downtime]))</f>
        <v>0</v>
      </c>
      <c r="Q4" s="18">
        <f t="shared" ref="Q4:Q19" si="1">O4-N4-P4</f>
        <v>0.37500000000000006</v>
      </c>
      <c r="R4" s="16">
        <v>9</v>
      </c>
      <c r="S4" s="17">
        <f>R4/Q4/24</f>
        <v>0.99999999999999989</v>
      </c>
      <c r="T4" s="11">
        <v>0.33333333333333331</v>
      </c>
      <c r="U4" s="12">
        <v>0.70833333333333337</v>
      </c>
      <c r="V4" s="19" cm="1">
        <f t="array" ref="V4">SUM(IF((Table3[[#This Row],[TanggaK Produksi]]=Table5[Date])*('Daily Performance Monitoring '!$T$2=Table5[Machine]),Table5[Downtime]))</f>
        <v>0</v>
      </c>
      <c r="W4" s="18">
        <f t="shared" ref="W4:W19" si="2">U4-T4-V4</f>
        <v>0.37500000000000006</v>
      </c>
      <c r="X4" s="16">
        <v>12</v>
      </c>
      <c r="Y4" s="17">
        <f>X4/W4/24</f>
        <v>1.3333333333333333</v>
      </c>
      <c r="Z4" s="11">
        <v>0.33333333333333331</v>
      </c>
      <c r="AA4" s="12">
        <v>0.70833333333333337</v>
      </c>
      <c r="AB4" s="19" cm="1">
        <f t="array" ref="AB4">SUM(IF((Table3[[#This Row],[TanggaK Produksi]]=Table5[Date])*('Daily Performance Monitoring '!$Z$2=Table5[Machine]),Table5[Downtime]))</f>
        <v>0</v>
      </c>
      <c r="AC4" s="18">
        <f t="shared" ref="AC4:AC19" si="3">AA4-Z4-AB4</f>
        <v>0.37500000000000006</v>
      </c>
      <c r="AD4" s="16">
        <v>11</v>
      </c>
      <c r="AE4" s="17">
        <f t="shared" ref="AE4:AE19" si="4">AD4/AC4/24</f>
        <v>1.2222222222222221</v>
      </c>
      <c r="AF4" s="11">
        <v>0.33333333333333331</v>
      </c>
      <c r="AG4" s="12">
        <v>0.70833333333333337</v>
      </c>
      <c r="AH4" s="19" cm="1">
        <f t="array" ref="AH4">SUM(IF((Table3[[#This Row],[TanggaK Produksi]]=Table5[Date])*('Daily Performance Monitoring '!$AF$2=Table5[Machine]),Table5[Downtime]))</f>
        <v>0</v>
      </c>
      <c r="AI4" s="18">
        <f t="shared" ref="AI4:AI19" si="5">AG4-AF4-AH4</f>
        <v>0.37500000000000006</v>
      </c>
      <c r="AJ4" s="16">
        <v>11</v>
      </c>
      <c r="AK4" s="17">
        <f t="shared" ref="AK4:AK19" si="6">AJ4/AI4/24</f>
        <v>1.2222222222222221</v>
      </c>
      <c r="AL4" s="11">
        <v>0.33333333333333331</v>
      </c>
      <c r="AM4" s="12">
        <v>0.70833333333333337</v>
      </c>
      <c r="AN4" s="19" cm="1">
        <f t="array" ref="AN4">SUM(IF((Table3[[#This Row],[TanggaK Produksi]]=Table5[Date])*('Daily Performance Monitoring '!$AL$2=Table5[Machine]),Table5[Downtime]))</f>
        <v>0</v>
      </c>
      <c r="AO4" s="18">
        <f>AM4-AL4-AN4</f>
        <v>0.37500000000000006</v>
      </c>
      <c r="AP4" s="16">
        <v>10</v>
      </c>
      <c r="AQ4" s="17">
        <f t="shared" ref="AQ4:AQ19" si="7">AP4/AO4/24</f>
        <v>1.1111111111111109</v>
      </c>
      <c r="AR4" s="11">
        <v>0.33333333333333331</v>
      </c>
      <c r="AS4" s="12">
        <v>0.70833333333333337</v>
      </c>
      <c r="AT4" s="19" cm="1">
        <f t="array" ref="AT4">SUM(IF((Table3[[#This Row],[TanggaK Produksi]]=Table5[Date])*('Daily Performance Monitoring '!$AR$2=Table5[Machine]),Table5[Downtime]))</f>
        <v>0</v>
      </c>
      <c r="AU4" s="18">
        <f t="shared" ref="AU4:AU19" si="8">AS4-AR4-AT4</f>
        <v>0.37500000000000006</v>
      </c>
      <c r="AV4" s="16">
        <v>12</v>
      </c>
      <c r="AW4" s="17">
        <f t="shared" ref="AW4:AW19" si="9">AV4/AU4/24</f>
        <v>1.3333333333333333</v>
      </c>
      <c r="AX4" s="11">
        <v>0.33333333333333331</v>
      </c>
      <c r="AY4" s="12">
        <v>0.70833333333333337</v>
      </c>
      <c r="AZ4" s="19" cm="1">
        <f t="array" ref="AZ4">SUM(IF((Table3[[#This Row],[TanggaK Produksi]]=Table5[Date])*('Daily Performance Monitoring '!$AX$2=Table5[Machine]),Table5[Downtime]))</f>
        <v>0</v>
      </c>
      <c r="BA4" s="18">
        <f t="shared" ref="BA4:BA19" si="10">AY4-AX4-AZ4</f>
        <v>0.37500000000000006</v>
      </c>
      <c r="BB4" s="16">
        <v>10</v>
      </c>
      <c r="BC4" s="17">
        <f t="shared" ref="BC4:BC19" si="11">BB4/BA4/24</f>
        <v>1.1111111111111109</v>
      </c>
      <c r="BE4" s="59" t="s">
        <v>3</v>
      </c>
      <c r="BF4" s="19">
        <f>E20</f>
        <v>9.8509259259259269E-2</v>
      </c>
      <c r="BG4" s="63">
        <f>AVERAGE(E4:E19)</f>
        <v>0.36940972222222224</v>
      </c>
      <c r="BH4" s="16">
        <f>F20</f>
        <v>167</v>
      </c>
      <c r="BI4" s="17">
        <f>G20</f>
        <v>1.1772723000281979</v>
      </c>
    </row>
    <row r="5" spans="1:61" x14ac:dyDescent="0.35">
      <c r="A5" s="7">
        <v>45902</v>
      </c>
      <c r="B5" s="8">
        <v>0.33333333333333331</v>
      </c>
      <c r="C5" s="9">
        <v>0.70833333333333337</v>
      </c>
      <c r="D5" s="49" cm="1">
        <f t="array" ref="D5">SUM(IF((Table3[[#This Row],[TanggaK Produksi]]=Table5[Date])*('Daily Performance Monitoring '!$B$2=Table5[Machine]),Table5[Downtime]))</f>
        <v>0</v>
      </c>
      <c r="E5" s="50">
        <f t="shared" ref="E5:E19" si="12">C5-B5-D5</f>
        <v>0.37500000000000006</v>
      </c>
      <c r="F5" s="14">
        <v>9</v>
      </c>
      <c r="G5" s="15">
        <f t="shared" ref="G5:G19" si="13">F5/E5/24</f>
        <v>0.99999999999999989</v>
      </c>
      <c r="H5" s="8">
        <v>0.33333333333333331</v>
      </c>
      <c r="I5" s="9">
        <v>0.70833333333333337</v>
      </c>
      <c r="J5" s="49" cm="1">
        <f t="array" ref="J5">SUM(IF((Table3[[#This Row],[TanggaK Produksi]]=Table5[Date])*('Daily Performance Monitoring '!$H$2=Table5[Machine]),Table5[Downtime]))</f>
        <v>0</v>
      </c>
      <c r="K5" s="50">
        <f t="shared" si="0"/>
        <v>0.37500000000000006</v>
      </c>
      <c r="L5" s="14">
        <v>10</v>
      </c>
      <c r="M5" s="15">
        <f t="shared" ref="M5:M19" si="14">L5/K5/24</f>
        <v>1.1111111111111109</v>
      </c>
      <c r="N5" s="8">
        <v>0.33333333333333331</v>
      </c>
      <c r="O5" s="9">
        <v>0.70833333333333337</v>
      </c>
      <c r="P5" s="49" cm="1">
        <f t="array" ref="P5">SUM(IF((Table3[[#This Row],[TanggaK Produksi]]=Table5[Date])*('Daily Performance Monitoring '!$N$2=Table5[Machine]),Table5[Downtime]))</f>
        <v>0</v>
      </c>
      <c r="Q5" s="50">
        <f t="shared" si="1"/>
        <v>0.37500000000000006</v>
      </c>
      <c r="R5" s="14">
        <v>11</v>
      </c>
      <c r="S5" s="15">
        <f t="shared" ref="S5:S19" si="15">R5/Q5/24</f>
        <v>1.2222222222222221</v>
      </c>
      <c r="T5" s="8">
        <v>0.33333333333333331</v>
      </c>
      <c r="U5" s="9">
        <v>0.70833333333333337</v>
      </c>
      <c r="V5" s="49" cm="1">
        <f t="array" ref="V5">SUM(IF((Table3[[#This Row],[TanggaK Produksi]]=Table5[Date])*('Daily Performance Monitoring '!$T$2=Table5[Machine]),Table5[Downtime]))</f>
        <v>1.7500000000000016E-2</v>
      </c>
      <c r="W5" s="50">
        <f t="shared" si="2"/>
        <v>0.35750000000000004</v>
      </c>
      <c r="X5" s="14">
        <v>9</v>
      </c>
      <c r="Y5" s="15">
        <f t="shared" ref="Y5:Y19" si="16">X5/W5/24</f>
        <v>1.048951048951049</v>
      </c>
      <c r="Z5" s="8">
        <v>0.33333333333333331</v>
      </c>
      <c r="AA5" s="9">
        <v>0.70833333333333337</v>
      </c>
      <c r="AB5" s="49" cm="1">
        <f t="array" ref="AB5">SUM(IF((Table3[[#This Row],[TanggaK Produksi]]=Table5[Date])*('Daily Performance Monitoring '!$Z$2=Table5[Machine]),Table5[Downtime]))</f>
        <v>2.2222222222222365E-3</v>
      </c>
      <c r="AC5" s="50">
        <f t="shared" si="3"/>
        <v>0.37277777777777782</v>
      </c>
      <c r="AD5" s="14">
        <v>9</v>
      </c>
      <c r="AE5" s="15">
        <f t="shared" si="4"/>
        <v>1.0059612518628911</v>
      </c>
      <c r="AF5" s="8">
        <v>0.33333333333333331</v>
      </c>
      <c r="AG5" s="9">
        <v>0.70833333333333337</v>
      </c>
      <c r="AH5" s="49" cm="1">
        <f t="array" ref="AH5">SUM(IF((Table3[[#This Row],[TanggaK Produksi]]=Table5[Date])*('Daily Performance Monitoring '!$AF$2=Table5[Machine]),Table5[Downtime]))</f>
        <v>0</v>
      </c>
      <c r="AI5" s="50">
        <f t="shared" si="5"/>
        <v>0.37500000000000006</v>
      </c>
      <c r="AJ5" s="14">
        <v>9</v>
      </c>
      <c r="AK5" s="15">
        <f t="shared" si="6"/>
        <v>0.99999999999999989</v>
      </c>
      <c r="AL5" s="8">
        <v>0.33333333333333331</v>
      </c>
      <c r="AM5" s="9">
        <v>0.70833333333333337</v>
      </c>
      <c r="AN5" s="49" cm="1">
        <f t="array" ref="AN5">SUM(IF((Table3[[#This Row],[TanggaK Produksi]]=Table5[Date])*('Daily Performance Monitoring '!$AL$2=Table5[Machine]),Table5[Downtime]))</f>
        <v>0</v>
      </c>
      <c r="AO5" s="50">
        <f t="shared" ref="AO5:AO19" si="17">AM5-AL5-AN5</f>
        <v>0.37500000000000006</v>
      </c>
      <c r="AP5" s="14">
        <v>12</v>
      </c>
      <c r="AQ5" s="15">
        <f t="shared" si="7"/>
        <v>1.3333333333333333</v>
      </c>
      <c r="AR5" s="8">
        <v>0.33333333333333331</v>
      </c>
      <c r="AS5" s="9">
        <v>0.70833333333333337</v>
      </c>
      <c r="AT5" s="49" cm="1">
        <f t="array" ref="AT5">SUM(IF((Table3[[#This Row],[TanggaK Produksi]]=Table5[Date])*('Daily Performance Monitoring '!$AR$2=Table5[Machine]),Table5[Downtime]))</f>
        <v>6.3888888888888884E-2</v>
      </c>
      <c r="AU5" s="50">
        <f t="shared" si="8"/>
        <v>0.31111111111111117</v>
      </c>
      <c r="AV5" s="14">
        <v>10</v>
      </c>
      <c r="AW5" s="15">
        <f t="shared" si="9"/>
        <v>1.3392857142857142</v>
      </c>
      <c r="AX5" s="8">
        <v>0.33333333333333331</v>
      </c>
      <c r="AY5" s="9">
        <v>0.70833333333333337</v>
      </c>
      <c r="AZ5" s="49" cm="1">
        <f t="array" ref="AZ5">SUM(IF((Table3[[#This Row],[TanggaK Produksi]]=Table5[Date])*('Daily Performance Monitoring '!$AX$2=Table5[Machine]),Table5[Downtime]))</f>
        <v>0</v>
      </c>
      <c r="BA5" s="50">
        <f t="shared" si="10"/>
        <v>0.37500000000000006</v>
      </c>
      <c r="BB5" s="14">
        <v>12</v>
      </c>
      <c r="BC5" s="15">
        <f t="shared" si="11"/>
        <v>1.3333333333333333</v>
      </c>
      <c r="BE5" s="58" t="s">
        <v>4</v>
      </c>
      <c r="BF5" s="49">
        <f>K20</f>
        <v>9.9175925925925931E-2</v>
      </c>
      <c r="BG5" s="63">
        <f>AVERAGE(K4:K19)</f>
        <v>0.37190972222222224</v>
      </c>
      <c r="BH5" s="14">
        <f>L20</f>
        <v>166</v>
      </c>
      <c r="BI5" s="15">
        <f>M20</f>
        <v>1.1623564559798338</v>
      </c>
    </row>
    <row r="6" spans="1:61" x14ac:dyDescent="0.35">
      <c r="A6" s="7">
        <v>45903</v>
      </c>
      <c r="B6" s="8">
        <v>0.33333333333333331</v>
      </c>
      <c r="C6" s="9">
        <v>0.70833333333333337</v>
      </c>
      <c r="D6" s="49" cm="1">
        <f t="array" ref="D6">SUM(IF((Table3[[#This Row],[TanggaK Produksi]]=Table5[Date])*('Daily Performance Monitoring '!$B$2=Table5[Machine]),Table5[Downtime]))</f>
        <v>0</v>
      </c>
      <c r="E6" s="50">
        <f t="shared" si="12"/>
        <v>0.37500000000000006</v>
      </c>
      <c r="F6" s="14">
        <v>11</v>
      </c>
      <c r="G6" s="15">
        <f t="shared" si="13"/>
        <v>1.2222222222222221</v>
      </c>
      <c r="H6" s="8">
        <v>0.33333333333333331</v>
      </c>
      <c r="I6" s="9">
        <v>0.70833333333333337</v>
      </c>
      <c r="J6" s="49" cm="1">
        <f t="array" ref="J6">SUM(IF((Table3[[#This Row],[TanggaK Produksi]]=Table5[Date])*('Daily Performance Monitoring '!$H$2=Table5[Machine]),Table5[Downtime]))</f>
        <v>0</v>
      </c>
      <c r="K6" s="50">
        <f t="shared" si="0"/>
        <v>0.37500000000000006</v>
      </c>
      <c r="L6" s="14">
        <v>9</v>
      </c>
      <c r="M6" s="15">
        <f t="shared" si="14"/>
        <v>0.99999999999999989</v>
      </c>
      <c r="N6" s="8">
        <v>0.33333333333333331</v>
      </c>
      <c r="O6" s="9">
        <v>0.70833333333333337</v>
      </c>
      <c r="P6" s="49" cm="1">
        <f t="array" ref="P6">SUM(IF((Table3[[#This Row],[TanggaK Produksi]]=Table5[Date])*('Daily Performance Monitoring '!$N$2=Table5[Machine]),Table5[Downtime]))</f>
        <v>0</v>
      </c>
      <c r="Q6" s="50">
        <f t="shared" si="1"/>
        <v>0.37500000000000006</v>
      </c>
      <c r="R6" s="14">
        <v>9</v>
      </c>
      <c r="S6" s="15">
        <f t="shared" si="15"/>
        <v>0.99999999999999989</v>
      </c>
      <c r="T6" s="8">
        <v>0.33333333333333331</v>
      </c>
      <c r="U6" s="9">
        <v>0.70833333333333337</v>
      </c>
      <c r="V6" s="49" cm="1">
        <f t="array" ref="V6">SUM(IF((Table3[[#This Row],[TanggaK Produksi]]=Table5[Date])*('Daily Performance Monitoring '!$T$2=Table5[Machine]),Table5[Downtime]))</f>
        <v>0</v>
      </c>
      <c r="W6" s="50">
        <f t="shared" si="2"/>
        <v>0.37500000000000006</v>
      </c>
      <c r="X6" s="14">
        <v>10</v>
      </c>
      <c r="Y6" s="15">
        <f t="shared" si="16"/>
        <v>1.1111111111111109</v>
      </c>
      <c r="Z6" s="8">
        <v>0.33333333333333331</v>
      </c>
      <c r="AA6" s="9">
        <v>0.70833333333333337</v>
      </c>
      <c r="AB6" s="49" cm="1">
        <f t="array" ref="AB6">SUM(IF((Table3[[#This Row],[TanggaK Produksi]]=Table5[Date])*('Daily Performance Monitoring '!$Z$2=Table5[Machine]),Table5[Downtime]))</f>
        <v>0</v>
      </c>
      <c r="AC6" s="50">
        <f t="shared" si="3"/>
        <v>0.37500000000000006</v>
      </c>
      <c r="AD6" s="14">
        <v>10</v>
      </c>
      <c r="AE6" s="15">
        <f t="shared" si="4"/>
        <v>1.1111111111111109</v>
      </c>
      <c r="AF6" s="8">
        <v>0.33333333333333331</v>
      </c>
      <c r="AG6" s="9">
        <v>0.70833333333333337</v>
      </c>
      <c r="AH6" s="49" cm="1">
        <f t="array" ref="AH6">SUM(IF((Table3[[#This Row],[TanggaK Produksi]]=Table5[Date])*('Daily Performance Monitoring '!$AF$2=Table5[Machine]),Table5[Downtime]))</f>
        <v>0</v>
      </c>
      <c r="AI6" s="50">
        <f t="shared" si="5"/>
        <v>0.37500000000000006</v>
      </c>
      <c r="AJ6" s="14">
        <v>11</v>
      </c>
      <c r="AK6" s="15">
        <f t="shared" si="6"/>
        <v>1.2222222222222221</v>
      </c>
      <c r="AL6" s="8">
        <v>0.33333333333333331</v>
      </c>
      <c r="AM6" s="9">
        <v>0.70833333333333337</v>
      </c>
      <c r="AN6" s="49" cm="1">
        <f t="array" ref="AN6">SUM(IF((Table3[[#This Row],[TanggaK Produksi]]=Table5[Date])*('Daily Performance Monitoring '!$AL$2=Table5[Machine]),Table5[Downtime]))</f>
        <v>0</v>
      </c>
      <c r="AO6" s="50">
        <f t="shared" si="17"/>
        <v>0.37500000000000006</v>
      </c>
      <c r="AP6" s="14">
        <v>11</v>
      </c>
      <c r="AQ6" s="15">
        <f t="shared" si="7"/>
        <v>1.2222222222222221</v>
      </c>
      <c r="AR6" s="8">
        <v>0.33333333333333331</v>
      </c>
      <c r="AS6" s="9">
        <v>0.70833333333333337</v>
      </c>
      <c r="AT6" s="49" cm="1">
        <f t="array" ref="AT6">SUM(IF((Table3[[#This Row],[TanggaK Produksi]]=Table5[Date])*('Daily Performance Monitoring '!$AR$2=Table5[Machine]),Table5[Downtime]))</f>
        <v>4.8888888888888871E-2</v>
      </c>
      <c r="AU6" s="50">
        <f t="shared" si="8"/>
        <v>0.32611111111111118</v>
      </c>
      <c r="AV6" s="14">
        <v>11</v>
      </c>
      <c r="AW6" s="15">
        <f t="shared" si="9"/>
        <v>1.4054514480408855</v>
      </c>
      <c r="AX6" s="8">
        <v>0.33333333333333331</v>
      </c>
      <c r="AY6" s="9">
        <v>0.70833333333333337</v>
      </c>
      <c r="AZ6" s="49" cm="1">
        <f t="array" ref="AZ6">SUM(IF((Table3[[#This Row],[TanggaK Produksi]]=Table5[Date])*('Daily Performance Monitoring '!$AX$2=Table5[Machine]),Table5[Downtime]))</f>
        <v>4.5555555555555571E-2</v>
      </c>
      <c r="BA6" s="50">
        <f t="shared" si="10"/>
        <v>0.32944444444444448</v>
      </c>
      <c r="BB6" s="14">
        <v>10</v>
      </c>
      <c r="BC6" s="15">
        <f t="shared" si="11"/>
        <v>1.2647554806070824</v>
      </c>
      <c r="BE6" s="58" t="s">
        <v>5</v>
      </c>
      <c r="BF6" s="49">
        <f>Q20</f>
        <v>9.9652777777777798E-2</v>
      </c>
      <c r="BG6" s="63">
        <f>AVERAGE(Q4:Q19)</f>
        <v>0.37369791666666674</v>
      </c>
      <c r="BH6" s="14">
        <f>R20</f>
        <v>168</v>
      </c>
      <c r="BI6" s="15">
        <f>S20</f>
        <v>1.1707317073170729</v>
      </c>
    </row>
    <row r="7" spans="1:61" x14ac:dyDescent="0.35">
      <c r="A7" s="7">
        <v>45904</v>
      </c>
      <c r="B7" s="8">
        <v>0.33333333333333331</v>
      </c>
      <c r="C7" s="9">
        <v>0.70833333333333337</v>
      </c>
      <c r="D7" s="49" cm="1">
        <f t="array" ref="D7">SUM(IF((Table3[[#This Row],[TanggaK Produksi]]=Table5[Date])*('Daily Performance Monitoring '!$B$2=Table5[Machine]),Table5[Downtime]))</f>
        <v>0</v>
      </c>
      <c r="E7" s="50">
        <f t="shared" si="12"/>
        <v>0.37500000000000006</v>
      </c>
      <c r="F7" s="14">
        <v>11</v>
      </c>
      <c r="G7" s="15">
        <f t="shared" si="13"/>
        <v>1.2222222222222221</v>
      </c>
      <c r="H7" s="8">
        <v>0.33333333333333331</v>
      </c>
      <c r="I7" s="9">
        <v>0.70833333333333337</v>
      </c>
      <c r="J7" s="49" cm="1">
        <f t="array" ref="J7">SUM(IF((Table3[[#This Row],[TanggaK Produksi]]=Table5[Date])*('Daily Performance Monitoring '!$H$2=Table5[Machine]),Table5[Downtime]))</f>
        <v>0</v>
      </c>
      <c r="K7" s="50">
        <f t="shared" si="0"/>
        <v>0.37500000000000006</v>
      </c>
      <c r="L7" s="14">
        <v>10</v>
      </c>
      <c r="M7" s="15">
        <f t="shared" si="14"/>
        <v>1.1111111111111109</v>
      </c>
      <c r="N7" s="8">
        <v>0.33333333333333331</v>
      </c>
      <c r="O7" s="9">
        <v>0.70833333333333337</v>
      </c>
      <c r="P7" s="49" cm="1">
        <f t="array" ref="P7">SUM(IF((Table3[[#This Row],[TanggaK Produksi]]=Table5[Date])*('Daily Performance Monitoring '!$N$2=Table5[Machine]),Table5[Downtime]))</f>
        <v>0</v>
      </c>
      <c r="Q7" s="50">
        <f t="shared" si="1"/>
        <v>0.37500000000000006</v>
      </c>
      <c r="R7" s="14">
        <v>12</v>
      </c>
      <c r="S7" s="15">
        <f t="shared" si="15"/>
        <v>1.3333333333333333</v>
      </c>
      <c r="T7" s="8">
        <v>0.33333333333333331</v>
      </c>
      <c r="U7" s="9">
        <v>0.70833333333333337</v>
      </c>
      <c r="V7" s="49" cm="1">
        <f t="array" ref="V7">SUM(IF((Table3[[#This Row],[TanggaK Produksi]]=Table5[Date])*('Daily Performance Monitoring '!$T$2=Table5[Machine]),Table5[Downtime]))</f>
        <v>0</v>
      </c>
      <c r="W7" s="50">
        <f t="shared" si="2"/>
        <v>0.37500000000000006</v>
      </c>
      <c r="X7" s="14">
        <v>9</v>
      </c>
      <c r="Y7" s="15">
        <f t="shared" si="16"/>
        <v>0.99999999999999989</v>
      </c>
      <c r="Z7" s="8">
        <v>0.33333333333333331</v>
      </c>
      <c r="AA7" s="9">
        <v>0.70833333333333337</v>
      </c>
      <c r="AB7" s="49" cm="1">
        <f t="array" ref="AB7">SUM(IF((Table3[[#This Row],[TanggaK Produksi]]=Table5[Date])*('Daily Performance Monitoring '!$Z$2=Table5[Machine]),Table5[Downtime]))</f>
        <v>0</v>
      </c>
      <c r="AC7" s="50">
        <f t="shared" si="3"/>
        <v>0.37500000000000006</v>
      </c>
      <c r="AD7" s="14">
        <v>11</v>
      </c>
      <c r="AE7" s="15">
        <f t="shared" si="4"/>
        <v>1.2222222222222221</v>
      </c>
      <c r="AF7" s="8">
        <v>0.33333333333333331</v>
      </c>
      <c r="AG7" s="9">
        <v>0.70833333333333337</v>
      </c>
      <c r="AH7" s="49" cm="1">
        <f t="array" ref="AH7">SUM(IF((Table3[[#This Row],[TanggaK Produksi]]=Table5[Date])*('Daily Performance Monitoring '!$AF$2=Table5[Machine]),Table5[Downtime]))</f>
        <v>0</v>
      </c>
      <c r="AI7" s="50">
        <f t="shared" si="5"/>
        <v>0.37500000000000006</v>
      </c>
      <c r="AJ7" s="14">
        <v>9</v>
      </c>
      <c r="AK7" s="15">
        <f t="shared" si="6"/>
        <v>0.99999999999999989</v>
      </c>
      <c r="AL7" s="8">
        <v>0.33333333333333331</v>
      </c>
      <c r="AM7" s="9">
        <v>0.70833333333333337</v>
      </c>
      <c r="AN7" s="49" cm="1">
        <f t="array" ref="AN7">SUM(IF((Table3[[#This Row],[TanggaK Produksi]]=Table5[Date])*('Daily Performance Monitoring '!$AL$2=Table5[Machine]),Table5[Downtime]))</f>
        <v>0</v>
      </c>
      <c r="AO7" s="50">
        <f t="shared" si="17"/>
        <v>0.37500000000000006</v>
      </c>
      <c r="AP7" s="14">
        <v>10</v>
      </c>
      <c r="AQ7" s="15">
        <f t="shared" si="7"/>
        <v>1.1111111111111109</v>
      </c>
      <c r="AR7" s="8">
        <v>0.33333333333333331</v>
      </c>
      <c r="AS7" s="9">
        <v>0.70833333333333337</v>
      </c>
      <c r="AT7" s="49" cm="1">
        <f t="array" ref="AT7">SUM(IF((Table3[[#This Row],[TanggaK Produksi]]=Table5[Date])*('Daily Performance Monitoring '!$AR$2=Table5[Machine]),Table5[Downtime]))</f>
        <v>3.1944444444444442E-2</v>
      </c>
      <c r="AU7" s="50">
        <f t="shared" si="8"/>
        <v>0.34305555555555561</v>
      </c>
      <c r="AV7" s="14">
        <v>12</v>
      </c>
      <c r="AW7" s="15">
        <f t="shared" si="9"/>
        <v>1.4574898785425099</v>
      </c>
      <c r="AX7" s="8">
        <v>0.33333333333333331</v>
      </c>
      <c r="AY7" s="9">
        <v>0.70833333333333337</v>
      </c>
      <c r="AZ7" s="49" cm="1">
        <f t="array" ref="AZ7">SUM(IF((Table3[[#This Row],[TanggaK Produksi]]=Table5[Date])*('Daily Performance Monitoring '!$AX$2=Table5[Machine]),Table5[Downtime]))</f>
        <v>0</v>
      </c>
      <c r="BA7" s="50">
        <f t="shared" si="10"/>
        <v>0.37500000000000006</v>
      </c>
      <c r="BB7" s="14">
        <v>10</v>
      </c>
      <c r="BC7" s="15">
        <f t="shared" si="11"/>
        <v>1.1111111111111109</v>
      </c>
      <c r="BE7" s="58" t="s">
        <v>6</v>
      </c>
      <c r="BF7" s="49">
        <f>W20</f>
        <v>9.914351851851852E-2</v>
      </c>
      <c r="BG7" s="63">
        <f>AVERAGE(W4:W19)</f>
        <v>0.37178819444444444</v>
      </c>
      <c r="BH7" s="14">
        <f>X20</f>
        <v>164</v>
      </c>
      <c r="BI7" s="15">
        <f>Y20</f>
        <v>1.1487275274340416</v>
      </c>
    </row>
    <row r="8" spans="1:61" x14ac:dyDescent="0.35">
      <c r="A8" s="7">
        <v>45905</v>
      </c>
      <c r="B8" s="8">
        <v>0.33333333333333331</v>
      </c>
      <c r="C8" s="9">
        <v>0.70833333333333337</v>
      </c>
      <c r="D8" s="49" cm="1">
        <f t="array" ref="D8">SUM(IF((Table3[[#This Row],[TanggaK Produksi]]=Table5[Date])*('Daily Performance Monitoring '!$B$2=Table5[Machine]),Table5[Downtime]))</f>
        <v>0</v>
      </c>
      <c r="E8" s="50">
        <f t="shared" si="12"/>
        <v>0.37500000000000006</v>
      </c>
      <c r="F8" s="14">
        <v>12</v>
      </c>
      <c r="G8" s="15">
        <f t="shared" si="13"/>
        <v>1.3333333333333333</v>
      </c>
      <c r="H8" s="8">
        <v>0.33333333333333331</v>
      </c>
      <c r="I8" s="9">
        <v>0.70833333333333337</v>
      </c>
      <c r="J8" s="49" cm="1">
        <f t="array" ref="J8">SUM(IF((Table3[[#This Row],[TanggaK Produksi]]=Table5[Date])*('Daily Performance Monitoring '!$H$2=Table5[Machine]),Table5[Downtime]))</f>
        <v>0</v>
      </c>
      <c r="K8" s="50">
        <f t="shared" si="0"/>
        <v>0.37500000000000006</v>
      </c>
      <c r="L8" s="14">
        <v>11</v>
      </c>
      <c r="M8" s="15">
        <f t="shared" si="14"/>
        <v>1.2222222222222221</v>
      </c>
      <c r="N8" s="8">
        <v>0.33333333333333331</v>
      </c>
      <c r="O8" s="9">
        <v>0.70833333333333337</v>
      </c>
      <c r="P8" s="49" cm="1">
        <f t="array" ref="P8">SUM(IF((Table3[[#This Row],[TanggaK Produksi]]=Table5[Date])*('Daily Performance Monitoring '!$N$2=Table5[Machine]),Table5[Downtime]))</f>
        <v>0</v>
      </c>
      <c r="Q8" s="50">
        <f t="shared" si="1"/>
        <v>0.37500000000000006</v>
      </c>
      <c r="R8" s="14">
        <v>12</v>
      </c>
      <c r="S8" s="15">
        <f t="shared" si="15"/>
        <v>1.3333333333333333</v>
      </c>
      <c r="T8" s="8">
        <v>0.33333333333333331</v>
      </c>
      <c r="U8" s="9">
        <v>0.70833333333333337</v>
      </c>
      <c r="V8" s="49" cm="1">
        <f t="array" ref="V8">SUM(IF((Table3[[#This Row],[TanggaK Produksi]]=Table5[Date])*('Daily Performance Monitoring '!$T$2=Table5[Machine]),Table5[Downtime]))</f>
        <v>0</v>
      </c>
      <c r="W8" s="50">
        <f t="shared" si="2"/>
        <v>0.37500000000000006</v>
      </c>
      <c r="X8" s="14">
        <v>11</v>
      </c>
      <c r="Y8" s="15">
        <f t="shared" si="16"/>
        <v>1.2222222222222221</v>
      </c>
      <c r="Z8" s="8">
        <v>0.33333333333333331</v>
      </c>
      <c r="AA8" s="9">
        <v>0.70833333333333337</v>
      </c>
      <c r="AB8" s="49" cm="1">
        <f t="array" ref="AB8">SUM(IF((Table3[[#This Row],[TanggaK Produksi]]=Table5[Date])*('Daily Performance Monitoring '!$Z$2=Table5[Machine]),Table5[Downtime]))</f>
        <v>3.9722222222222214E-2</v>
      </c>
      <c r="AC8" s="50">
        <f t="shared" si="3"/>
        <v>0.33527777777777784</v>
      </c>
      <c r="AD8" s="14">
        <v>11</v>
      </c>
      <c r="AE8" s="15">
        <f t="shared" si="4"/>
        <v>1.3670256835128416</v>
      </c>
      <c r="AF8" s="8">
        <v>0.33333333333333331</v>
      </c>
      <c r="AG8" s="9">
        <v>0.70833333333333337</v>
      </c>
      <c r="AH8" s="49" cm="1">
        <f t="array" ref="AH8">SUM(IF((Table3[[#This Row],[TanggaK Produksi]]=Table5[Date])*('Daily Performance Monitoring '!$AF$2=Table5[Machine]),Table5[Downtime]))</f>
        <v>0</v>
      </c>
      <c r="AI8" s="50">
        <f t="shared" si="5"/>
        <v>0.37500000000000006</v>
      </c>
      <c r="AJ8" s="14">
        <v>12</v>
      </c>
      <c r="AK8" s="15">
        <f t="shared" si="6"/>
        <v>1.3333333333333333</v>
      </c>
      <c r="AL8" s="8">
        <v>0.33333333333333331</v>
      </c>
      <c r="AM8" s="9">
        <v>0.70833333333333337</v>
      </c>
      <c r="AN8" s="49" cm="1">
        <f t="array" ref="AN8">SUM(IF((Table3[[#This Row],[TanggaK Produksi]]=Table5[Date])*('Daily Performance Monitoring '!$AL$2=Table5[Machine]),Table5[Downtime]))</f>
        <v>0</v>
      </c>
      <c r="AO8" s="50">
        <f t="shared" si="17"/>
        <v>0.37500000000000006</v>
      </c>
      <c r="AP8" s="14">
        <v>11</v>
      </c>
      <c r="AQ8" s="15">
        <f t="shared" si="7"/>
        <v>1.2222222222222221</v>
      </c>
      <c r="AR8" s="8">
        <v>0.33333333333333331</v>
      </c>
      <c r="AS8" s="9">
        <v>0.70833333333333337</v>
      </c>
      <c r="AT8" s="49" cm="1">
        <f t="array" ref="AT8">SUM(IF((Table3[[#This Row],[TanggaK Produksi]]=Table5[Date])*('Daily Performance Monitoring '!$AR$2=Table5[Machine]),Table5[Downtime]))</f>
        <v>0</v>
      </c>
      <c r="AU8" s="50">
        <f t="shared" si="8"/>
        <v>0.37500000000000006</v>
      </c>
      <c r="AV8" s="14">
        <v>10</v>
      </c>
      <c r="AW8" s="15">
        <f t="shared" si="9"/>
        <v>1.1111111111111109</v>
      </c>
      <c r="AX8" s="8">
        <v>0.33333333333333331</v>
      </c>
      <c r="AY8" s="9">
        <v>0.70833333333333337</v>
      </c>
      <c r="AZ8" s="49" cm="1">
        <f t="array" ref="AZ8">SUM(IF((Table3[[#This Row],[TanggaK Produksi]]=Table5[Date])*('Daily Performance Monitoring '!$AX$2=Table5[Machine]),Table5[Downtime]))</f>
        <v>4.1111111111111098E-2</v>
      </c>
      <c r="BA8" s="50">
        <f t="shared" si="10"/>
        <v>0.33388888888888896</v>
      </c>
      <c r="BB8" s="14">
        <v>10</v>
      </c>
      <c r="BC8" s="15">
        <f t="shared" si="11"/>
        <v>1.2479201331114806</v>
      </c>
      <c r="BE8" s="58" t="s">
        <v>7</v>
      </c>
      <c r="BF8" s="49">
        <f>AC20</f>
        <v>9.8643518518518533E-2</v>
      </c>
      <c r="BG8" s="63">
        <f>AVERAGE(AC4:AC19)</f>
        <v>0.36991319444444448</v>
      </c>
      <c r="BH8" s="14">
        <f>AD20</f>
        <v>170</v>
      </c>
      <c r="BI8" s="15">
        <f>AE20</f>
        <v>1.196789787393814</v>
      </c>
    </row>
    <row r="9" spans="1:61" x14ac:dyDescent="0.35">
      <c r="A9" s="7">
        <v>45906</v>
      </c>
      <c r="B9" s="8">
        <v>0.33333333333333331</v>
      </c>
      <c r="C9" s="9">
        <v>0.70833333333333337</v>
      </c>
      <c r="D9" s="49" cm="1">
        <f t="array" ref="D9">SUM(IF((Table3[[#This Row],[TanggaK Produksi]]=Table5[Date])*('Daily Performance Monitoring '!$B$2=Table5[Machine]),Table5[Downtime]))</f>
        <v>0</v>
      </c>
      <c r="E9" s="50">
        <f t="shared" si="12"/>
        <v>0.37500000000000006</v>
      </c>
      <c r="F9" s="14">
        <v>9</v>
      </c>
      <c r="G9" s="15">
        <f t="shared" si="13"/>
        <v>0.99999999999999989</v>
      </c>
      <c r="H9" s="8">
        <v>0.33333333333333331</v>
      </c>
      <c r="I9" s="9">
        <v>0.70833333333333337</v>
      </c>
      <c r="J9" s="49" cm="1">
        <f t="array" ref="J9">SUM(IF((Table3[[#This Row],[TanggaK Produksi]]=Table5[Date])*('Daily Performance Monitoring '!$H$2=Table5[Machine]),Table5[Downtime]))</f>
        <v>0</v>
      </c>
      <c r="K9" s="50">
        <f t="shared" si="0"/>
        <v>0.37500000000000006</v>
      </c>
      <c r="L9" s="14">
        <v>11</v>
      </c>
      <c r="M9" s="15">
        <f t="shared" si="14"/>
        <v>1.2222222222222221</v>
      </c>
      <c r="N9" s="8">
        <v>0.33333333333333331</v>
      </c>
      <c r="O9" s="9">
        <v>0.70833333333333337</v>
      </c>
      <c r="P9" s="49" cm="1">
        <f t="array" ref="P9">SUM(IF((Table3[[#This Row],[TanggaK Produksi]]=Table5[Date])*('Daily Performance Monitoring '!$N$2=Table5[Machine]),Table5[Downtime]))</f>
        <v>0</v>
      </c>
      <c r="Q9" s="50">
        <f t="shared" si="1"/>
        <v>0.37500000000000006</v>
      </c>
      <c r="R9" s="14">
        <v>11</v>
      </c>
      <c r="S9" s="15">
        <f t="shared" si="15"/>
        <v>1.2222222222222221</v>
      </c>
      <c r="T9" s="8">
        <v>0.33333333333333331</v>
      </c>
      <c r="U9" s="9">
        <v>0.70833333333333337</v>
      </c>
      <c r="V9" s="49" cm="1">
        <f t="array" ref="V9">SUM(IF((Table3[[#This Row],[TanggaK Produksi]]=Table5[Date])*('Daily Performance Monitoring '!$T$2=Table5[Machine]),Table5[Downtime]))</f>
        <v>1.0000000000000009E-2</v>
      </c>
      <c r="W9" s="50">
        <f t="shared" si="2"/>
        <v>0.36500000000000005</v>
      </c>
      <c r="X9" s="14">
        <v>9</v>
      </c>
      <c r="Y9" s="15">
        <f t="shared" si="16"/>
        <v>1.0273972602739725</v>
      </c>
      <c r="Z9" s="8">
        <v>0.33333333333333331</v>
      </c>
      <c r="AA9" s="9">
        <v>0.70833333333333337</v>
      </c>
      <c r="AB9" s="49" cm="1">
        <f t="array" ref="AB9">SUM(IF((Table3[[#This Row],[TanggaK Produksi]]=Table5[Date])*('Daily Performance Monitoring '!$Z$2=Table5[Machine]),Table5[Downtime]))</f>
        <v>0</v>
      </c>
      <c r="AC9" s="50">
        <f t="shared" si="3"/>
        <v>0.37500000000000006</v>
      </c>
      <c r="AD9" s="14">
        <v>12</v>
      </c>
      <c r="AE9" s="15">
        <f t="shared" si="4"/>
        <v>1.3333333333333333</v>
      </c>
      <c r="AF9" s="8">
        <v>0.33333333333333331</v>
      </c>
      <c r="AG9" s="9">
        <v>0.70833333333333337</v>
      </c>
      <c r="AH9" s="49" cm="1">
        <f t="array" ref="AH9">SUM(IF((Table3[[#This Row],[TanggaK Produksi]]=Table5[Date])*('Daily Performance Monitoring '!$AF$2=Table5[Machine]),Table5[Downtime]))</f>
        <v>0</v>
      </c>
      <c r="AI9" s="50">
        <f t="shared" si="5"/>
        <v>0.37500000000000006</v>
      </c>
      <c r="AJ9" s="14">
        <v>9</v>
      </c>
      <c r="AK9" s="15">
        <f t="shared" si="6"/>
        <v>0.99999999999999989</v>
      </c>
      <c r="AL9" s="8">
        <v>0.33333333333333331</v>
      </c>
      <c r="AM9" s="9">
        <v>0.70833333333333337</v>
      </c>
      <c r="AN9" s="49" cm="1">
        <f t="array" ref="AN9">SUM(IF((Table3[[#This Row],[TanggaK Produksi]]=Table5[Date])*('Daily Performance Monitoring '!$AL$2=Table5[Machine]),Table5[Downtime]))</f>
        <v>3.1666666666666676E-2</v>
      </c>
      <c r="AO9" s="50">
        <f t="shared" si="17"/>
        <v>0.34333333333333338</v>
      </c>
      <c r="AP9" s="14">
        <v>10</v>
      </c>
      <c r="AQ9" s="15">
        <f t="shared" si="7"/>
        <v>1.2135922330097086</v>
      </c>
      <c r="AR9" s="8">
        <v>0.33333333333333331</v>
      </c>
      <c r="AS9" s="9">
        <v>0.70833333333333337</v>
      </c>
      <c r="AT9" s="49" cm="1">
        <f t="array" ref="AT9">SUM(IF((Table3[[#This Row],[TanggaK Produksi]]=Table5[Date])*('Daily Performance Monitoring '!$AR$2=Table5[Machine]),Table5[Downtime]))</f>
        <v>0</v>
      </c>
      <c r="AU9" s="50">
        <f t="shared" si="8"/>
        <v>0.37500000000000006</v>
      </c>
      <c r="AV9" s="14">
        <v>9</v>
      </c>
      <c r="AW9" s="15">
        <f t="shared" si="9"/>
        <v>0.99999999999999989</v>
      </c>
      <c r="AX9" s="8">
        <v>0.33333333333333331</v>
      </c>
      <c r="AY9" s="9">
        <v>0.70833333333333337</v>
      </c>
      <c r="AZ9" s="49" cm="1">
        <f t="array" ref="AZ9">SUM(IF((Table3[[#This Row],[TanggaK Produksi]]=Table5[Date])*('Daily Performance Monitoring '!$AX$2=Table5[Machine]),Table5[Downtime]))</f>
        <v>0</v>
      </c>
      <c r="BA9" s="50">
        <f t="shared" si="10"/>
        <v>0.37500000000000006</v>
      </c>
      <c r="BB9" s="14">
        <v>9</v>
      </c>
      <c r="BC9" s="15">
        <f t="shared" si="11"/>
        <v>0.99999999999999989</v>
      </c>
      <c r="BE9" s="58" t="s">
        <v>8</v>
      </c>
      <c r="BF9" s="49">
        <f>AI20</f>
        <v>9.8861111111111122E-2</v>
      </c>
      <c r="BG9" s="63">
        <f>AVERAGE(AI4:AI19)</f>
        <v>0.37072916666666672</v>
      </c>
      <c r="BH9" s="14">
        <f>AJ20</f>
        <v>170</v>
      </c>
      <c r="BI9" s="15">
        <f>AK20</f>
        <v>1.1941556617027254</v>
      </c>
    </row>
    <row r="10" spans="1:61" x14ac:dyDescent="0.35">
      <c r="A10" s="7">
        <v>45908</v>
      </c>
      <c r="B10" s="8">
        <v>0.33333333333333331</v>
      </c>
      <c r="C10" s="9">
        <v>0.70833333333333337</v>
      </c>
      <c r="D10" s="49" cm="1">
        <f t="array" ref="D10">SUM(IF((Table3[[#This Row],[TanggaK Produksi]]=Table5[Date])*('Daily Performance Monitoring '!$B$2=Table5[Machine]),Table5[Downtime]))</f>
        <v>0</v>
      </c>
      <c r="E10" s="50">
        <f t="shared" si="12"/>
        <v>0.37500000000000006</v>
      </c>
      <c r="F10" s="14">
        <v>11</v>
      </c>
      <c r="G10" s="15">
        <f t="shared" si="13"/>
        <v>1.2222222222222221</v>
      </c>
      <c r="H10" s="8">
        <v>0.33333333333333331</v>
      </c>
      <c r="I10" s="9">
        <v>0.70833333333333337</v>
      </c>
      <c r="J10" s="49" cm="1">
        <f t="array" ref="J10">SUM(IF((Table3[[#This Row],[TanggaK Produksi]]=Table5[Date])*('Daily Performance Monitoring '!$H$2=Table5[Machine]),Table5[Downtime]))</f>
        <v>0</v>
      </c>
      <c r="K10" s="50">
        <f t="shared" si="0"/>
        <v>0.37500000000000006</v>
      </c>
      <c r="L10" s="14">
        <v>10</v>
      </c>
      <c r="M10" s="15">
        <f t="shared" si="14"/>
        <v>1.1111111111111109</v>
      </c>
      <c r="N10" s="8">
        <v>0.33333333333333331</v>
      </c>
      <c r="O10" s="9">
        <v>0.70833333333333337</v>
      </c>
      <c r="P10" s="49" cm="1">
        <f t="array" ref="P10">SUM(IF((Table3[[#This Row],[TanggaK Produksi]]=Table5[Date])*('Daily Performance Monitoring '!$N$2=Table5[Machine]),Table5[Downtime]))</f>
        <v>1.7500000000000016E-2</v>
      </c>
      <c r="Q10" s="50">
        <f t="shared" si="1"/>
        <v>0.35750000000000004</v>
      </c>
      <c r="R10" s="14">
        <v>12</v>
      </c>
      <c r="S10" s="15">
        <f t="shared" si="15"/>
        <v>1.3986013986013983</v>
      </c>
      <c r="T10" s="8">
        <v>0.33333333333333331</v>
      </c>
      <c r="U10" s="9">
        <v>0.70833333333333337</v>
      </c>
      <c r="V10" s="49" cm="1">
        <f t="array" ref="V10">SUM(IF((Table3[[#This Row],[TanggaK Produksi]]=Table5[Date])*('Daily Performance Monitoring '!$T$2=Table5[Machine]),Table5[Downtime]))</f>
        <v>0</v>
      </c>
      <c r="W10" s="50">
        <f t="shared" si="2"/>
        <v>0.37500000000000006</v>
      </c>
      <c r="X10" s="14">
        <v>10</v>
      </c>
      <c r="Y10" s="15">
        <f t="shared" si="16"/>
        <v>1.1111111111111109</v>
      </c>
      <c r="Z10" s="8">
        <v>0.33333333333333331</v>
      </c>
      <c r="AA10" s="9">
        <v>0.70833333333333337</v>
      </c>
      <c r="AB10" s="49" cm="1">
        <f t="array" ref="AB10">SUM(IF((Table3[[#This Row],[TanggaK Produksi]]=Table5[Date])*('Daily Performance Monitoring '!$Z$2=Table5[Machine]),Table5[Downtime]))</f>
        <v>0</v>
      </c>
      <c r="AC10" s="50">
        <f t="shared" si="3"/>
        <v>0.37500000000000006</v>
      </c>
      <c r="AD10" s="14">
        <v>12</v>
      </c>
      <c r="AE10" s="15">
        <f t="shared" si="4"/>
        <v>1.3333333333333333</v>
      </c>
      <c r="AF10" s="8">
        <v>0.33333333333333331</v>
      </c>
      <c r="AG10" s="9">
        <v>0.70833333333333337</v>
      </c>
      <c r="AH10" s="49" cm="1">
        <f t="array" ref="AH10">SUM(IF((Table3[[#This Row],[TanggaK Produksi]]=Table5[Date])*('Daily Performance Monitoring '!$AF$2=Table5[Machine]),Table5[Downtime]))</f>
        <v>0</v>
      </c>
      <c r="AI10" s="50">
        <f t="shared" si="5"/>
        <v>0.37500000000000006</v>
      </c>
      <c r="AJ10" s="14">
        <v>9</v>
      </c>
      <c r="AK10" s="15">
        <f t="shared" si="6"/>
        <v>0.99999999999999989</v>
      </c>
      <c r="AL10" s="8">
        <v>0.33333333333333331</v>
      </c>
      <c r="AM10" s="9">
        <v>0.70833333333333337</v>
      </c>
      <c r="AN10" s="49" cm="1">
        <f t="array" ref="AN10">SUM(IF((Table3[[#This Row],[TanggaK Produksi]]=Table5[Date])*('Daily Performance Monitoring '!$AL$2=Table5[Machine]),Table5[Downtime]))</f>
        <v>0</v>
      </c>
      <c r="AO10" s="50">
        <f t="shared" si="17"/>
        <v>0.37500000000000006</v>
      </c>
      <c r="AP10" s="14">
        <v>12</v>
      </c>
      <c r="AQ10" s="15">
        <f t="shared" si="7"/>
        <v>1.3333333333333333</v>
      </c>
      <c r="AR10" s="8">
        <v>0.33333333333333331</v>
      </c>
      <c r="AS10" s="9">
        <v>0.70833333333333337</v>
      </c>
      <c r="AT10" s="49" cm="1">
        <f t="array" ref="AT10">SUM(IF((Table3[[#This Row],[TanggaK Produksi]]=Table5[Date])*('Daily Performance Monitoring '!$AR$2=Table5[Machine]),Table5[Downtime]))</f>
        <v>0</v>
      </c>
      <c r="AU10" s="50">
        <f t="shared" si="8"/>
        <v>0.37500000000000006</v>
      </c>
      <c r="AV10" s="14">
        <v>12</v>
      </c>
      <c r="AW10" s="15">
        <f t="shared" si="9"/>
        <v>1.3333333333333333</v>
      </c>
      <c r="AX10" s="8">
        <v>0.33333333333333331</v>
      </c>
      <c r="AY10" s="9">
        <v>0.70833333333333337</v>
      </c>
      <c r="AZ10" s="49" cm="1">
        <f t="array" ref="AZ10">SUM(IF((Table3[[#This Row],[TanggaK Produksi]]=Table5[Date])*('Daily Performance Monitoring '!$AX$2=Table5[Machine]),Table5[Downtime]))</f>
        <v>0</v>
      </c>
      <c r="BA10" s="50">
        <f t="shared" si="10"/>
        <v>0.37500000000000006</v>
      </c>
      <c r="BB10" s="14">
        <v>10</v>
      </c>
      <c r="BC10" s="15">
        <f t="shared" si="11"/>
        <v>1.1111111111111109</v>
      </c>
      <c r="BE10" s="58" t="s">
        <v>9</v>
      </c>
      <c r="BF10" s="49">
        <f>AO20</f>
        <v>9.8583333333333342E-2</v>
      </c>
      <c r="BG10" s="63">
        <f>AVERAGE(AO4:AO19)</f>
        <v>0.36968750000000006</v>
      </c>
      <c r="BH10" s="14">
        <f>AP20</f>
        <v>171</v>
      </c>
      <c r="BI10" s="15">
        <f>AQ20</f>
        <v>1.2045646661031275</v>
      </c>
    </row>
    <row r="11" spans="1:61" x14ac:dyDescent="0.35">
      <c r="A11" s="7">
        <v>45909</v>
      </c>
      <c r="B11" s="8">
        <v>0.33333333333333331</v>
      </c>
      <c r="C11" s="9">
        <v>0.70833333333333337</v>
      </c>
      <c r="D11" s="49" cm="1">
        <f t="array" ref="D11">SUM(IF((Table3[[#This Row],[TanggaK Produksi]]=Table5[Date])*('Daily Performance Monitoring '!$B$2=Table5[Machine]),Table5[Downtime]))</f>
        <v>0</v>
      </c>
      <c r="E11" s="50">
        <f t="shared" si="12"/>
        <v>0.37500000000000006</v>
      </c>
      <c r="F11" s="14">
        <v>10</v>
      </c>
      <c r="G11" s="15">
        <f t="shared" si="13"/>
        <v>1.1111111111111109</v>
      </c>
      <c r="H11" s="8">
        <v>0.33333333333333331</v>
      </c>
      <c r="I11" s="9">
        <v>0.70833333333333337</v>
      </c>
      <c r="J11" s="49" cm="1">
        <f t="array" ref="J11">SUM(IF((Table3[[#This Row],[TanggaK Produksi]]=Table5[Date])*('Daily Performance Monitoring '!$H$2=Table5[Machine]),Table5[Downtime]))</f>
        <v>0</v>
      </c>
      <c r="K11" s="50">
        <f t="shared" si="0"/>
        <v>0.37500000000000006</v>
      </c>
      <c r="L11" s="14">
        <v>10</v>
      </c>
      <c r="M11" s="15">
        <f t="shared" si="14"/>
        <v>1.1111111111111109</v>
      </c>
      <c r="N11" s="8">
        <v>0.33333333333333331</v>
      </c>
      <c r="O11" s="9">
        <v>0.70833333333333337</v>
      </c>
      <c r="P11" s="49" cm="1">
        <f t="array" ref="P11">SUM(IF((Table3[[#This Row],[TanggaK Produksi]]=Table5[Date])*('Daily Performance Monitoring '!$N$2=Table5[Machine]),Table5[Downtime]))</f>
        <v>0</v>
      </c>
      <c r="Q11" s="50">
        <f t="shared" si="1"/>
        <v>0.37500000000000006</v>
      </c>
      <c r="R11" s="14">
        <v>9</v>
      </c>
      <c r="S11" s="15">
        <f t="shared" si="15"/>
        <v>0.99999999999999989</v>
      </c>
      <c r="T11" s="8">
        <v>0.33333333333333331</v>
      </c>
      <c r="U11" s="9">
        <v>0.70833333333333337</v>
      </c>
      <c r="V11" s="49" cm="1">
        <f t="array" ref="V11">SUM(IF((Table3[[#This Row],[TanggaK Produksi]]=Table5[Date])*('Daily Performance Monitoring '!$T$2=Table5[Machine]),Table5[Downtime]))</f>
        <v>0</v>
      </c>
      <c r="W11" s="50">
        <f t="shared" si="2"/>
        <v>0.37500000000000006</v>
      </c>
      <c r="X11" s="14">
        <v>11</v>
      </c>
      <c r="Y11" s="15">
        <f t="shared" si="16"/>
        <v>1.2222222222222221</v>
      </c>
      <c r="Z11" s="8">
        <v>0.33333333333333331</v>
      </c>
      <c r="AA11" s="9">
        <v>0.70833333333333337</v>
      </c>
      <c r="AB11" s="49" cm="1">
        <f t="array" ref="AB11">SUM(IF((Table3[[#This Row],[TanggaK Produksi]]=Table5[Date])*('Daily Performance Monitoring '!$Z$2=Table5[Machine]),Table5[Downtime]))</f>
        <v>3.4166666666666679E-2</v>
      </c>
      <c r="AC11" s="50">
        <f t="shared" si="3"/>
        <v>0.34083333333333338</v>
      </c>
      <c r="AD11" s="14">
        <v>11</v>
      </c>
      <c r="AE11" s="15">
        <f t="shared" si="4"/>
        <v>1.3447432762836184</v>
      </c>
      <c r="AF11" s="8">
        <v>0.33333333333333331</v>
      </c>
      <c r="AG11" s="9">
        <v>0.70833333333333337</v>
      </c>
      <c r="AH11" s="49" cm="1">
        <f t="array" ref="AH11">SUM(IF((Table3[[#This Row],[TanggaK Produksi]]=Table5[Date])*('Daily Performance Monitoring '!$AF$2=Table5[Machine]),Table5[Downtime]))</f>
        <v>1.2777777777777777E-2</v>
      </c>
      <c r="AI11" s="50">
        <f t="shared" si="5"/>
        <v>0.36222222222222228</v>
      </c>
      <c r="AJ11" s="14">
        <v>12</v>
      </c>
      <c r="AK11" s="15">
        <f t="shared" si="6"/>
        <v>1.380368098159509</v>
      </c>
      <c r="AL11" s="8">
        <v>0.33333333333333331</v>
      </c>
      <c r="AM11" s="9">
        <v>0.70833333333333337</v>
      </c>
      <c r="AN11" s="49" cm="1">
        <f t="array" ref="AN11">SUM(IF((Table3[[#This Row],[TanggaK Produksi]]=Table5[Date])*('Daily Performance Monitoring '!$AL$2=Table5[Machine]),Table5[Downtime]))</f>
        <v>2.2222222222222199E-2</v>
      </c>
      <c r="AO11" s="50">
        <f t="shared" si="17"/>
        <v>0.35277777777777786</v>
      </c>
      <c r="AP11" s="14">
        <v>11</v>
      </c>
      <c r="AQ11" s="15">
        <f t="shared" si="7"/>
        <v>1.2992125984251965</v>
      </c>
      <c r="AR11" s="8">
        <v>0.33333333333333331</v>
      </c>
      <c r="AS11" s="9">
        <v>0.70833333333333337</v>
      </c>
      <c r="AT11" s="49" cm="1">
        <f t="array" ref="AT11">SUM(IF((Table3[[#This Row],[TanggaK Produksi]]=Table5[Date])*('Daily Performance Monitoring '!$AR$2=Table5[Machine]),Table5[Downtime]))</f>
        <v>0</v>
      </c>
      <c r="AU11" s="50">
        <f t="shared" si="8"/>
        <v>0.37500000000000006</v>
      </c>
      <c r="AV11" s="14">
        <v>10</v>
      </c>
      <c r="AW11" s="15">
        <f t="shared" si="9"/>
        <v>1.1111111111111109</v>
      </c>
      <c r="AX11" s="8">
        <v>0.33333333333333331</v>
      </c>
      <c r="AY11" s="9">
        <v>0.70833333333333337</v>
      </c>
      <c r="AZ11" s="49" cm="1">
        <f t="array" ref="AZ11">SUM(IF((Table3[[#This Row],[TanggaK Produksi]]=Table5[Date])*('Daily Performance Monitoring '!$AX$2=Table5[Machine]),Table5[Downtime]))</f>
        <v>2.0833333333333315E-2</v>
      </c>
      <c r="BA11" s="50">
        <f t="shared" si="10"/>
        <v>0.35416666666666674</v>
      </c>
      <c r="BB11" s="14">
        <v>9</v>
      </c>
      <c r="BC11" s="15">
        <f t="shared" si="11"/>
        <v>1.0588235294117645</v>
      </c>
      <c r="BE11" s="58" t="s">
        <v>10</v>
      </c>
      <c r="BF11" s="49">
        <f>AU20</f>
        <v>9.7143518518518518E-2</v>
      </c>
      <c r="BG11" s="63">
        <f>AVERAGE(AU4:AU19)</f>
        <v>0.36428819444444444</v>
      </c>
      <c r="BH11" s="14">
        <f>AV20</f>
        <v>173</v>
      </c>
      <c r="BI11" s="15">
        <f>AW20</f>
        <v>1.2367154363055806</v>
      </c>
    </row>
    <row r="12" spans="1:61" x14ac:dyDescent="0.35">
      <c r="A12" s="7">
        <v>45910</v>
      </c>
      <c r="B12" s="8">
        <v>0.33333333333333331</v>
      </c>
      <c r="C12" s="9">
        <v>0.70833333333333337</v>
      </c>
      <c r="D12" s="49" cm="1">
        <f t="array" ref="D12">SUM(IF((Table3[[#This Row],[TanggaK Produksi]]=Table5[Date])*('Daily Performance Monitoring '!$B$2=Table5[Machine]),Table5[Downtime]))</f>
        <v>0</v>
      </c>
      <c r="E12" s="50">
        <f t="shared" si="12"/>
        <v>0.37500000000000006</v>
      </c>
      <c r="F12" s="14">
        <v>12</v>
      </c>
      <c r="G12" s="15">
        <f t="shared" si="13"/>
        <v>1.3333333333333333</v>
      </c>
      <c r="H12" s="8">
        <v>0.33333333333333331</v>
      </c>
      <c r="I12" s="9">
        <v>0.70833333333333337</v>
      </c>
      <c r="J12" s="49" cm="1">
        <f t="array" ref="J12">SUM(IF((Table3[[#This Row],[TanggaK Produksi]]=Table5[Date])*('Daily Performance Monitoring '!$H$2=Table5[Machine]),Table5[Downtime]))</f>
        <v>0</v>
      </c>
      <c r="K12" s="50">
        <f t="shared" si="0"/>
        <v>0.37500000000000006</v>
      </c>
      <c r="L12" s="14">
        <v>10</v>
      </c>
      <c r="M12" s="15">
        <f t="shared" si="14"/>
        <v>1.1111111111111109</v>
      </c>
      <c r="N12" s="8">
        <v>0.33333333333333331</v>
      </c>
      <c r="O12" s="9">
        <v>0.70833333333333337</v>
      </c>
      <c r="P12" s="49" cm="1">
        <f t="array" ref="P12">SUM(IF((Table3[[#This Row],[TanggaK Produksi]]=Table5[Date])*('Daily Performance Monitoring '!$N$2=Table5[Machine]),Table5[Downtime]))</f>
        <v>0</v>
      </c>
      <c r="Q12" s="50">
        <f t="shared" si="1"/>
        <v>0.37500000000000006</v>
      </c>
      <c r="R12" s="14">
        <v>12</v>
      </c>
      <c r="S12" s="15">
        <f t="shared" si="15"/>
        <v>1.3333333333333333</v>
      </c>
      <c r="T12" s="8">
        <v>0.33333333333333331</v>
      </c>
      <c r="U12" s="9">
        <v>0.70833333333333337</v>
      </c>
      <c r="V12" s="49" cm="1">
        <f t="array" ref="V12">SUM(IF((Table3[[#This Row],[TanggaK Produksi]]=Table5[Date])*('Daily Performance Monitoring '!$T$2=Table5[Machine]),Table5[Downtime]))</f>
        <v>0</v>
      </c>
      <c r="W12" s="50">
        <f t="shared" si="2"/>
        <v>0.37500000000000006</v>
      </c>
      <c r="X12" s="14">
        <v>9</v>
      </c>
      <c r="Y12" s="15">
        <f t="shared" si="16"/>
        <v>0.99999999999999989</v>
      </c>
      <c r="Z12" s="8">
        <v>0.33333333333333331</v>
      </c>
      <c r="AA12" s="9">
        <v>0.70833333333333337</v>
      </c>
      <c r="AB12" s="49" cm="1">
        <f t="array" ref="AB12">SUM(IF((Table3[[#This Row],[TanggaK Produksi]]=Table5[Date])*('Daily Performance Monitoring '!$Z$2=Table5[Machine]),Table5[Downtime]))</f>
        <v>0</v>
      </c>
      <c r="AC12" s="50">
        <f t="shared" si="3"/>
        <v>0.37500000000000006</v>
      </c>
      <c r="AD12" s="14">
        <v>12</v>
      </c>
      <c r="AE12" s="15">
        <f t="shared" si="4"/>
        <v>1.3333333333333333</v>
      </c>
      <c r="AF12" s="8">
        <v>0.33333333333333331</v>
      </c>
      <c r="AG12" s="9">
        <v>0.70833333333333337</v>
      </c>
      <c r="AH12" s="49" cm="1">
        <f t="array" ref="AH12">SUM(IF((Table3[[#This Row],[TanggaK Produksi]]=Table5[Date])*('Daily Performance Monitoring '!$AF$2=Table5[Machine]),Table5[Downtime]))</f>
        <v>0</v>
      </c>
      <c r="AI12" s="50">
        <f t="shared" si="5"/>
        <v>0.37500000000000006</v>
      </c>
      <c r="AJ12" s="14">
        <v>12</v>
      </c>
      <c r="AK12" s="15">
        <f t="shared" si="6"/>
        <v>1.3333333333333333</v>
      </c>
      <c r="AL12" s="8">
        <v>0.33333333333333331</v>
      </c>
      <c r="AM12" s="9">
        <v>0.70833333333333337</v>
      </c>
      <c r="AN12" s="49" cm="1">
        <f t="array" ref="AN12">SUM(IF((Table3[[#This Row],[TanggaK Produksi]]=Table5[Date])*('Daily Performance Monitoring '!$AL$2=Table5[Machine]),Table5[Downtime]))</f>
        <v>3.1111111111111089E-2</v>
      </c>
      <c r="AO12" s="50">
        <f t="shared" si="17"/>
        <v>0.34388888888888897</v>
      </c>
      <c r="AP12" s="14">
        <v>9</v>
      </c>
      <c r="AQ12" s="15">
        <f t="shared" si="7"/>
        <v>1.0904684975767365</v>
      </c>
      <c r="AR12" s="8">
        <v>0.33333333333333331</v>
      </c>
      <c r="AS12" s="9">
        <v>0.70833333333333337</v>
      </c>
      <c r="AT12" s="49" cm="1">
        <f t="array" ref="AT12">SUM(IF((Table3[[#This Row],[TanggaK Produksi]]=Table5[Date])*('Daily Performance Monitoring '!$AR$2=Table5[Machine]),Table5[Downtime]))</f>
        <v>0</v>
      </c>
      <c r="AU12" s="50">
        <f t="shared" si="8"/>
        <v>0.37500000000000006</v>
      </c>
      <c r="AV12" s="14">
        <v>10</v>
      </c>
      <c r="AW12" s="15">
        <f t="shared" si="9"/>
        <v>1.1111111111111109</v>
      </c>
      <c r="AX12" s="8">
        <v>0.33333333333333331</v>
      </c>
      <c r="AY12" s="9">
        <v>0.70833333333333337</v>
      </c>
      <c r="AZ12" s="49" cm="1">
        <f t="array" ref="AZ12">SUM(IF((Table3[[#This Row],[TanggaK Produksi]]=Table5[Date])*('Daily Performance Monitoring '!$AX$2=Table5[Machine]),Table5[Downtime]))</f>
        <v>0</v>
      </c>
      <c r="BA12" s="50">
        <f t="shared" si="10"/>
        <v>0.37500000000000006</v>
      </c>
      <c r="BB12" s="14">
        <v>12</v>
      </c>
      <c r="BC12" s="15">
        <f t="shared" si="11"/>
        <v>1.3333333333333333</v>
      </c>
      <c r="BE12" s="58" t="s">
        <v>11</v>
      </c>
      <c r="BF12" s="49">
        <f>BA20</f>
        <v>9.7328703703703695E-2</v>
      </c>
      <c r="BG12" s="63">
        <f>AVERAGE(BA4:BA19)</f>
        <v>0.36498263888888888</v>
      </c>
      <c r="BH12" s="14">
        <f>BB20</f>
        <v>166</v>
      </c>
      <c r="BI12" s="15">
        <f>BC20</f>
        <v>1.1844170670218335</v>
      </c>
    </row>
    <row r="13" spans="1:61" x14ac:dyDescent="0.35">
      <c r="A13" s="7">
        <v>45911</v>
      </c>
      <c r="B13" s="8">
        <v>0.33333333333333331</v>
      </c>
      <c r="C13" s="9">
        <v>0.70833333333333337</v>
      </c>
      <c r="D13" s="49" cm="1">
        <f t="array" ref="D13">SUM(IF((Table3[[#This Row],[TanggaK Produksi]]=Table5[Date])*('Daily Performance Monitoring '!$B$2=Table5[Machine]),Table5[Downtime]))</f>
        <v>1.9722222222222197E-2</v>
      </c>
      <c r="E13" s="50">
        <f t="shared" si="12"/>
        <v>0.35527777777777786</v>
      </c>
      <c r="F13" s="14">
        <v>12</v>
      </c>
      <c r="G13" s="15">
        <f t="shared" si="13"/>
        <v>1.407349491790461</v>
      </c>
      <c r="H13" s="8">
        <v>0.33333333333333331</v>
      </c>
      <c r="I13" s="9">
        <v>0.70833333333333337</v>
      </c>
      <c r="J13" s="49" cm="1">
        <f t="array" ref="J13">SUM(IF((Table3[[#This Row],[TanggaK Produksi]]=Table5[Date])*('Daily Performance Monitoring '!$H$2=Table5[Machine]),Table5[Downtime]))</f>
        <v>0</v>
      </c>
      <c r="K13" s="50">
        <f t="shared" si="0"/>
        <v>0.37500000000000006</v>
      </c>
      <c r="L13" s="14">
        <v>9</v>
      </c>
      <c r="M13" s="15">
        <f t="shared" si="14"/>
        <v>0.99999999999999989</v>
      </c>
      <c r="N13" s="8">
        <v>0.33333333333333331</v>
      </c>
      <c r="O13" s="9">
        <v>0.70833333333333337</v>
      </c>
      <c r="P13" s="49" cm="1">
        <f t="array" ref="P13">SUM(IF((Table3[[#This Row],[TanggaK Produksi]]=Table5[Date])*('Daily Performance Monitoring '!$N$2=Table5[Machine]),Table5[Downtime]))</f>
        <v>0</v>
      </c>
      <c r="Q13" s="50">
        <f t="shared" si="1"/>
        <v>0.37500000000000006</v>
      </c>
      <c r="R13" s="14">
        <v>9</v>
      </c>
      <c r="S13" s="15">
        <f t="shared" si="15"/>
        <v>0.99999999999999989</v>
      </c>
      <c r="T13" s="8">
        <v>0.33333333333333331</v>
      </c>
      <c r="U13" s="9">
        <v>0.70833333333333337</v>
      </c>
      <c r="V13" s="49" cm="1">
        <f t="array" ref="V13">SUM(IF((Table3[[#This Row],[TanggaK Produksi]]=Table5[Date])*('Daily Performance Monitoring '!$T$2=Table5[Machine]),Table5[Downtime]))</f>
        <v>0</v>
      </c>
      <c r="W13" s="50">
        <f t="shared" si="2"/>
        <v>0.37500000000000006</v>
      </c>
      <c r="X13" s="14">
        <v>10</v>
      </c>
      <c r="Y13" s="15">
        <f t="shared" si="16"/>
        <v>1.1111111111111109</v>
      </c>
      <c r="Z13" s="8">
        <v>0.33333333333333331</v>
      </c>
      <c r="AA13" s="9">
        <v>0.70833333333333337</v>
      </c>
      <c r="AB13" s="49" cm="1">
        <f t="array" ref="AB13">SUM(IF((Table3[[#This Row],[TanggaK Produksi]]=Table5[Date])*('Daily Performance Monitoring '!$Z$2=Table5[Machine]),Table5[Downtime]))</f>
        <v>0</v>
      </c>
      <c r="AC13" s="50">
        <f t="shared" si="3"/>
        <v>0.37500000000000006</v>
      </c>
      <c r="AD13" s="14">
        <v>11</v>
      </c>
      <c r="AE13" s="15">
        <f t="shared" si="4"/>
        <v>1.2222222222222221</v>
      </c>
      <c r="AF13" s="8">
        <v>0.33333333333333331</v>
      </c>
      <c r="AG13" s="9">
        <v>0.70833333333333337</v>
      </c>
      <c r="AH13" s="49" cm="1">
        <f t="array" ref="AH13">SUM(IF((Table3[[#This Row],[TanggaK Produksi]]=Table5[Date])*('Daily Performance Monitoring '!$AF$2=Table5[Machine]),Table5[Downtime]))</f>
        <v>0</v>
      </c>
      <c r="AI13" s="50">
        <f t="shared" si="5"/>
        <v>0.37500000000000006</v>
      </c>
      <c r="AJ13" s="14">
        <v>12</v>
      </c>
      <c r="AK13" s="15">
        <f t="shared" si="6"/>
        <v>1.3333333333333333</v>
      </c>
      <c r="AL13" s="8">
        <v>0.33333333333333331</v>
      </c>
      <c r="AM13" s="9">
        <v>0.70833333333333337</v>
      </c>
      <c r="AN13" s="49" cm="1">
        <f t="array" ref="AN13">SUM(IF((Table3[[#This Row],[TanggaK Produksi]]=Table5[Date])*('Daily Performance Monitoring '!$AL$2=Table5[Machine]),Table5[Downtime]))</f>
        <v>0</v>
      </c>
      <c r="AO13" s="50">
        <f t="shared" si="17"/>
        <v>0.37500000000000006</v>
      </c>
      <c r="AP13" s="14">
        <v>12</v>
      </c>
      <c r="AQ13" s="15">
        <f t="shared" si="7"/>
        <v>1.3333333333333333</v>
      </c>
      <c r="AR13" s="8">
        <v>0.33333333333333331</v>
      </c>
      <c r="AS13" s="9">
        <v>0.70833333333333337</v>
      </c>
      <c r="AT13" s="49" cm="1">
        <f t="array" ref="AT13">SUM(IF((Table3[[#This Row],[TanggaK Produksi]]=Table5[Date])*('Daily Performance Monitoring '!$AR$2=Table5[Machine]),Table5[Downtime]))</f>
        <v>3.6111111111111205E-3</v>
      </c>
      <c r="AU13" s="50">
        <f t="shared" si="8"/>
        <v>0.37138888888888894</v>
      </c>
      <c r="AV13" s="14">
        <v>10</v>
      </c>
      <c r="AW13" s="15">
        <f t="shared" si="9"/>
        <v>1.1219147344801794</v>
      </c>
      <c r="AX13" s="8">
        <v>0.33333333333333331</v>
      </c>
      <c r="AY13" s="9">
        <v>0.70833333333333337</v>
      </c>
      <c r="AZ13" s="49" cm="1">
        <f t="array" ref="AZ13">SUM(IF((Table3[[#This Row],[TanggaK Produksi]]=Table5[Date])*('Daily Performance Monitoring '!$AX$2=Table5[Machine]),Table5[Downtime]))</f>
        <v>6.9444444444444198E-3</v>
      </c>
      <c r="BA13" s="50">
        <f t="shared" si="10"/>
        <v>0.36805555555555564</v>
      </c>
      <c r="BB13" s="14">
        <v>9</v>
      </c>
      <c r="BC13" s="15">
        <f t="shared" si="11"/>
        <v>1.0188679245283017</v>
      </c>
    </row>
    <row r="14" spans="1:61" x14ac:dyDescent="0.35">
      <c r="A14" s="7">
        <v>45912</v>
      </c>
      <c r="B14" s="8">
        <v>0.33333333333333331</v>
      </c>
      <c r="C14" s="9">
        <v>0.70833333333333337</v>
      </c>
      <c r="D14" s="49" cm="1">
        <f t="array" ref="D14">SUM(IF((Table3[[#This Row],[TanggaK Produksi]]=Table5[Date])*('Daily Performance Monitoring '!$B$2=Table5[Machine]),Table5[Downtime]))</f>
        <v>0</v>
      </c>
      <c r="E14" s="50">
        <f t="shared" si="12"/>
        <v>0.37500000000000006</v>
      </c>
      <c r="F14" s="14">
        <v>10</v>
      </c>
      <c r="G14" s="15">
        <f t="shared" si="13"/>
        <v>1.1111111111111109</v>
      </c>
      <c r="H14" s="8">
        <v>0.33333333333333331</v>
      </c>
      <c r="I14" s="9">
        <v>0.70833333333333337</v>
      </c>
      <c r="J14" s="49" cm="1">
        <f t="array" ref="J14">SUM(IF((Table3[[#This Row],[TanggaK Produksi]]=Table5[Date])*('Daily Performance Monitoring '!$H$2=Table5[Machine]),Table5[Downtime]))</f>
        <v>0</v>
      </c>
      <c r="K14" s="50">
        <f t="shared" si="0"/>
        <v>0.37500000000000006</v>
      </c>
      <c r="L14" s="14">
        <v>12</v>
      </c>
      <c r="M14" s="15">
        <f t="shared" si="14"/>
        <v>1.3333333333333333</v>
      </c>
      <c r="N14" s="8">
        <v>0.33333333333333331</v>
      </c>
      <c r="O14" s="9">
        <v>0.70833333333333337</v>
      </c>
      <c r="P14" s="49" cm="1">
        <f t="array" ref="P14">SUM(IF((Table3[[#This Row],[TanggaK Produksi]]=Table5[Date])*('Daily Performance Monitoring '!$N$2=Table5[Machine]),Table5[Downtime]))</f>
        <v>0</v>
      </c>
      <c r="Q14" s="50">
        <f t="shared" si="1"/>
        <v>0.37500000000000006</v>
      </c>
      <c r="R14" s="14">
        <v>10</v>
      </c>
      <c r="S14" s="15">
        <f t="shared" si="15"/>
        <v>1.1111111111111109</v>
      </c>
      <c r="T14" s="8">
        <v>0.33333333333333331</v>
      </c>
      <c r="U14" s="9">
        <v>0.70833333333333337</v>
      </c>
      <c r="V14" s="49" cm="1">
        <f t="array" ref="V14">SUM(IF((Table3[[#This Row],[TanggaK Produksi]]=Table5[Date])*('Daily Performance Monitoring '!$T$2=Table5[Machine]),Table5[Downtime]))</f>
        <v>0</v>
      </c>
      <c r="W14" s="50">
        <f t="shared" si="2"/>
        <v>0.37500000000000006</v>
      </c>
      <c r="X14" s="14">
        <v>10</v>
      </c>
      <c r="Y14" s="15">
        <f t="shared" si="16"/>
        <v>1.1111111111111109</v>
      </c>
      <c r="Z14" s="8">
        <v>0.33333333333333331</v>
      </c>
      <c r="AA14" s="9">
        <v>0.70833333333333337</v>
      </c>
      <c r="AB14" s="49" cm="1">
        <f t="array" ref="AB14">SUM(IF((Table3[[#This Row],[TanggaK Produksi]]=Table5[Date])*('Daily Performance Monitoring '!$Z$2=Table5[Machine]),Table5[Downtime]))</f>
        <v>0</v>
      </c>
      <c r="AC14" s="50">
        <f t="shared" si="3"/>
        <v>0.37500000000000006</v>
      </c>
      <c r="AD14" s="14">
        <v>10</v>
      </c>
      <c r="AE14" s="15">
        <f t="shared" si="4"/>
        <v>1.1111111111111109</v>
      </c>
      <c r="AF14" s="8">
        <v>0.33333333333333331</v>
      </c>
      <c r="AG14" s="9">
        <v>0.70833333333333337</v>
      </c>
      <c r="AH14" s="49" cm="1">
        <f t="array" ref="AH14">SUM(IF((Table3[[#This Row],[TanggaK Produksi]]=Table5[Date])*('Daily Performance Monitoring '!$AF$2=Table5[Machine]),Table5[Downtime]))</f>
        <v>3.6666666666666681E-2</v>
      </c>
      <c r="AI14" s="50">
        <f t="shared" si="5"/>
        <v>0.33833333333333337</v>
      </c>
      <c r="AJ14" s="14">
        <v>12</v>
      </c>
      <c r="AK14" s="15">
        <f t="shared" si="6"/>
        <v>1.4778325123152707</v>
      </c>
      <c r="AL14" s="8">
        <v>0.33333333333333331</v>
      </c>
      <c r="AM14" s="9">
        <v>0.70833333333333337</v>
      </c>
      <c r="AN14" s="49" cm="1">
        <f t="array" ref="AN14">SUM(IF((Table3[[#This Row],[TanggaK Produksi]]=Table5[Date])*('Daily Performance Monitoring '!$AL$2=Table5[Machine]),Table5[Downtime]))</f>
        <v>0</v>
      </c>
      <c r="AO14" s="50">
        <f t="shared" si="17"/>
        <v>0.37500000000000006</v>
      </c>
      <c r="AP14" s="14">
        <v>12</v>
      </c>
      <c r="AQ14" s="15">
        <f t="shared" si="7"/>
        <v>1.3333333333333333</v>
      </c>
      <c r="AR14" s="8">
        <v>0.33333333333333331</v>
      </c>
      <c r="AS14" s="9">
        <v>0.70833333333333337</v>
      </c>
      <c r="AT14" s="49" cm="1">
        <f t="array" ref="AT14">SUM(IF((Table3[[#This Row],[TanggaK Produksi]]=Table5[Date])*('Daily Performance Monitoring '!$AR$2=Table5[Machine]),Table5[Downtime]))</f>
        <v>0</v>
      </c>
      <c r="AU14" s="50">
        <f t="shared" si="8"/>
        <v>0.37500000000000006</v>
      </c>
      <c r="AV14" s="14">
        <v>11</v>
      </c>
      <c r="AW14" s="15">
        <f t="shared" si="9"/>
        <v>1.2222222222222221</v>
      </c>
      <c r="AX14" s="8">
        <v>0.33333333333333331</v>
      </c>
      <c r="AY14" s="9">
        <v>0.70833333333333337</v>
      </c>
      <c r="AZ14" s="49" cm="1">
        <f t="array" ref="AZ14">SUM(IF((Table3[[#This Row],[TanggaK Produksi]]=Table5[Date])*('Daily Performance Monitoring '!$AX$2=Table5[Machine]),Table5[Downtime]))</f>
        <v>3.6111111111111205E-3</v>
      </c>
      <c r="BA14" s="50">
        <f t="shared" si="10"/>
        <v>0.37138888888888894</v>
      </c>
      <c r="BB14" s="14">
        <v>11</v>
      </c>
      <c r="BC14" s="15">
        <f t="shared" si="11"/>
        <v>1.2341062079281973</v>
      </c>
    </row>
    <row r="15" spans="1:61" x14ac:dyDescent="0.35">
      <c r="A15" s="7">
        <v>45913</v>
      </c>
      <c r="B15" s="8">
        <v>0.33333333333333331</v>
      </c>
      <c r="C15" s="9">
        <v>0.70833333333333337</v>
      </c>
      <c r="D15" s="49" cm="1">
        <f t="array" ref="D15">SUM(IF((Table3[[#This Row],[TanggaK Produksi]]=Table5[Date])*('Daily Performance Monitoring '!$B$2=Table5[Machine]),Table5[Downtime]))</f>
        <v>4.0833333333333333E-2</v>
      </c>
      <c r="E15" s="50">
        <f t="shared" si="12"/>
        <v>0.33416666666666672</v>
      </c>
      <c r="F15" s="14">
        <v>12</v>
      </c>
      <c r="G15" s="15">
        <f t="shared" si="13"/>
        <v>1.4962593516209475</v>
      </c>
      <c r="H15" s="8">
        <v>0.33333333333333331</v>
      </c>
      <c r="I15" s="9">
        <v>0.70833333333333337</v>
      </c>
      <c r="J15" s="49" cm="1">
        <f t="array" ref="J15">SUM(IF((Table3[[#This Row],[TanggaK Produksi]]=Table5[Date])*('Daily Performance Monitoring '!$H$2=Table5[Machine]),Table5[Downtime]))</f>
        <v>0</v>
      </c>
      <c r="K15" s="50">
        <f t="shared" si="0"/>
        <v>0.37500000000000006</v>
      </c>
      <c r="L15" s="14">
        <v>9</v>
      </c>
      <c r="M15" s="15">
        <f t="shared" si="14"/>
        <v>0.99999999999999989</v>
      </c>
      <c r="N15" s="8">
        <v>0.33333333333333331</v>
      </c>
      <c r="O15" s="9">
        <v>0.70833333333333337</v>
      </c>
      <c r="P15" s="49" cm="1">
        <f t="array" ref="P15">SUM(IF((Table3[[#This Row],[TanggaK Produksi]]=Table5[Date])*('Daily Performance Monitoring '!$N$2=Table5[Machine]),Table5[Downtime]))</f>
        <v>0</v>
      </c>
      <c r="Q15" s="50">
        <f t="shared" si="1"/>
        <v>0.37500000000000006</v>
      </c>
      <c r="R15" s="14">
        <v>9</v>
      </c>
      <c r="S15" s="15">
        <f t="shared" si="15"/>
        <v>0.99999999999999989</v>
      </c>
      <c r="T15" s="8">
        <v>0.33333333333333331</v>
      </c>
      <c r="U15" s="9">
        <v>0.70833333333333337</v>
      </c>
      <c r="V15" s="49" cm="1">
        <f t="array" ref="V15">SUM(IF((Table3[[#This Row],[TanggaK Produksi]]=Table5[Date])*('Daily Performance Monitoring '!$T$2=Table5[Machine]),Table5[Downtime]))</f>
        <v>0</v>
      </c>
      <c r="W15" s="50">
        <f t="shared" si="2"/>
        <v>0.37500000000000006</v>
      </c>
      <c r="X15" s="14">
        <v>10</v>
      </c>
      <c r="Y15" s="15">
        <f t="shared" si="16"/>
        <v>1.1111111111111109</v>
      </c>
      <c r="Z15" s="8">
        <v>0.33333333333333331</v>
      </c>
      <c r="AA15" s="9">
        <v>0.70833333333333337</v>
      </c>
      <c r="AB15" s="49" cm="1">
        <f t="array" ref="AB15">SUM(IF((Table3[[#This Row],[TanggaK Produksi]]=Table5[Date])*('Daily Performance Monitoring '!$Z$2=Table5[Machine]),Table5[Downtime]))</f>
        <v>0</v>
      </c>
      <c r="AC15" s="50">
        <f t="shared" si="3"/>
        <v>0.37500000000000006</v>
      </c>
      <c r="AD15" s="14">
        <v>10</v>
      </c>
      <c r="AE15" s="15">
        <f t="shared" si="4"/>
        <v>1.1111111111111109</v>
      </c>
      <c r="AF15" s="8">
        <v>0.33333333333333331</v>
      </c>
      <c r="AG15" s="9">
        <v>0.70833333333333337</v>
      </c>
      <c r="AH15" s="49" cm="1">
        <f t="array" ref="AH15">SUM(IF((Table3[[#This Row],[TanggaK Produksi]]=Table5[Date])*('Daily Performance Monitoring '!$AF$2=Table5[Machine]),Table5[Downtime]))</f>
        <v>0</v>
      </c>
      <c r="AI15" s="50">
        <f t="shared" si="5"/>
        <v>0.37500000000000006</v>
      </c>
      <c r="AJ15" s="14">
        <v>9</v>
      </c>
      <c r="AK15" s="15">
        <f t="shared" si="6"/>
        <v>0.99999999999999989</v>
      </c>
      <c r="AL15" s="8">
        <v>0.33333333333333331</v>
      </c>
      <c r="AM15" s="9">
        <v>0.70833333333333337</v>
      </c>
      <c r="AN15" s="49" cm="1">
        <f t="array" ref="AN15">SUM(IF((Table3[[#This Row],[TanggaK Produksi]]=Table5[Date])*('Daily Performance Monitoring '!$AL$2=Table5[Machine]),Table5[Downtime]))</f>
        <v>0</v>
      </c>
      <c r="AO15" s="50">
        <f t="shared" si="17"/>
        <v>0.37500000000000006</v>
      </c>
      <c r="AP15" s="14">
        <v>11</v>
      </c>
      <c r="AQ15" s="15">
        <f t="shared" si="7"/>
        <v>1.2222222222222221</v>
      </c>
      <c r="AR15" s="8">
        <v>0.33333333333333331</v>
      </c>
      <c r="AS15" s="9">
        <v>0.70833333333333337</v>
      </c>
      <c r="AT15" s="49" cm="1">
        <f t="array" ref="AT15">SUM(IF((Table3[[#This Row],[TanggaK Produksi]]=Table5[Date])*('Daily Performance Monitoring '!$AR$2=Table5[Machine]),Table5[Downtime]))</f>
        <v>1.0000000000000009E-2</v>
      </c>
      <c r="AU15" s="50">
        <f t="shared" si="8"/>
        <v>0.36500000000000005</v>
      </c>
      <c r="AV15" s="14">
        <v>12</v>
      </c>
      <c r="AW15" s="15">
        <f t="shared" si="9"/>
        <v>1.3698630136986301</v>
      </c>
      <c r="AX15" s="8">
        <v>0.33333333333333331</v>
      </c>
      <c r="AY15" s="9">
        <v>0.70833333333333337</v>
      </c>
      <c r="AZ15" s="49" cm="1">
        <f t="array" ref="AZ15">SUM(IF((Table3[[#This Row],[TanggaK Produksi]]=Table5[Date])*('Daily Performance Monitoring '!$AX$2=Table5[Machine]),Table5[Downtime]))</f>
        <v>1.3888888888888895E-2</v>
      </c>
      <c r="BA15" s="50">
        <f t="shared" si="10"/>
        <v>0.36111111111111116</v>
      </c>
      <c r="BB15" s="14">
        <v>11</v>
      </c>
      <c r="BC15" s="15">
        <f t="shared" si="11"/>
        <v>1.2692307692307689</v>
      </c>
    </row>
    <row r="16" spans="1:61" x14ac:dyDescent="0.35">
      <c r="A16" s="7">
        <v>45915</v>
      </c>
      <c r="B16" s="8">
        <v>0.33333333333333331</v>
      </c>
      <c r="C16" s="9">
        <v>0.70833333333333337</v>
      </c>
      <c r="D16" s="49" cm="1">
        <f t="array" ref="D16">SUM(IF((Table3[[#This Row],[TanggaK Produksi]]=Table5[Date])*('Daily Performance Monitoring '!$B$2=Table5[Machine]),Table5[Downtime]))</f>
        <v>0</v>
      </c>
      <c r="E16" s="50">
        <f t="shared" si="12"/>
        <v>0.37500000000000006</v>
      </c>
      <c r="F16" s="14">
        <v>10</v>
      </c>
      <c r="G16" s="15">
        <f t="shared" si="13"/>
        <v>1.1111111111111109</v>
      </c>
      <c r="H16" s="8">
        <v>0.33333333333333331</v>
      </c>
      <c r="I16" s="9">
        <v>0.70833333333333337</v>
      </c>
      <c r="J16" s="49" cm="1">
        <f t="array" ref="J16">SUM(IF((Table3[[#This Row],[TanggaK Produksi]]=Table5[Date])*('Daily Performance Monitoring '!$H$2=Table5[Machine]),Table5[Downtime]))</f>
        <v>0</v>
      </c>
      <c r="K16" s="50">
        <f t="shared" si="0"/>
        <v>0.37500000000000006</v>
      </c>
      <c r="L16" s="14">
        <v>11</v>
      </c>
      <c r="M16" s="15">
        <f t="shared" si="14"/>
        <v>1.2222222222222221</v>
      </c>
      <c r="N16" s="8">
        <v>0.33333333333333331</v>
      </c>
      <c r="O16" s="9">
        <v>0.70833333333333337</v>
      </c>
      <c r="P16" s="49" cm="1">
        <f t="array" ref="P16">SUM(IF((Table3[[#This Row],[TanggaK Produksi]]=Table5[Date])*('Daily Performance Monitoring '!$N$2=Table5[Machine]),Table5[Downtime]))</f>
        <v>0</v>
      </c>
      <c r="Q16" s="50">
        <f t="shared" si="1"/>
        <v>0.37500000000000006</v>
      </c>
      <c r="R16" s="14">
        <v>10</v>
      </c>
      <c r="S16" s="15">
        <f t="shared" si="15"/>
        <v>1.1111111111111109</v>
      </c>
      <c r="T16" s="8">
        <v>0.33333333333333331</v>
      </c>
      <c r="U16" s="9">
        <v>0.70833333333333337</v>
      </c>
      <c r="V16" s="49" cm="1">
        <f t="array" ref="V16">SUM(IF((Table3[[#This Row],[TanggaK Produksi]]=Table5[Date])*('Daily Performance Monitoring '!$T$2=Table5[Machine]),Table5[Downtime]))</f>
        <v>0</v>
      </c>
      <c r="W16" s="50">
        <f t="shared" si="2"/>
        <v>0.37500000000000006</v>
      </c>
      <c r="X16" s="14">
        <v>12</v>
      </c>
      <c r="Y16" s="15">
        <f t="shared" si="16"/>
        <v>1.3333333333333333</v>
      </c>
      <c r="Z16" s="8">
        <v>0.33333333333333331</v>
      </c>
      <c r="AA16" s="9">
        <v>0.70833333333333337</v>
      </c>
      <c r="AB16" s="49" cm="1">
        <f t="array" ref="AB16">SUM(IF((Table3[[#This Row],[TanggaK Produksi]]=Table5[Date])*('Daily Performance Monitoring '!$Z$2=Table5[Machine]),Table5[Downtime]))</f>
        <v>5.2777777777777701E-3</v>
      </c>
      <c r="AC16" s="50">
        <f t="shared" si="3"/>
        <v>0.36972222222222229</v>
      </c>
      <c r="AD16" s="14">
        <v>9</v>
      </c>
      <c r="AE16" s="15">
        <f t="shared" si="4"/>
        <v>1.0142749812171299</v>
      </c>
      <c r="AF16" s="8">
        <v>0.33333333333333331</v>
      </c>
      <c r="AG16" s="9">
        <v>0.70833333333333337</v>
      </c>
      <c r="AH16" s="49" cm="1">
        <f t="array" ref="AH16">SUM(IF((Table3[[#This Row],[TanggaK Produksi]]=Table5[Date])*('Daily Performance Monitoring '!$AF$2=Table5[Machine]),Table5[Downtime]))</f>
        <v>0</v>
      </c>
      <c r="AI16" s="50">
        <f t="shared" si="5"/>
        <v>0.37500000000000006</v>
      </c>
      <c r="AJ16" s="14">
        <v>10</v>
      </c>
      <c r="AK16" s="15">
        <f t="shared" si="6"/>
        <v>1.1111111111111109</v>
      </c>
      <c r="AL16" s="8">
        <v>0.33333333333333331</v>
      </c>
      <c r="AM16" s="9">
        <v>0.70833333333333337</v>
      </c>
      <c r="AN16" s="49" cm="1">
        <f t="array" ref="AN16">SUM(IF((Table3[[#This Row],[TanggaK Produksi]]=Table5[Date])*('Daily Performance Monitoring '!$AL$2=Table5[Machine]),Table5[Downtime]))</f>
        <v>0</v>
      </c>
      <c r="AO16" s="50">
        <f t="shared" si="17"/>
        <v>0.37500000000000006</v>
      </c>
      <c r="AP16" s="14">
        <v>11</v>
      </c>
      <c r="AQ16" s="15">
        <f t="shared" si="7"/>
        <v>1.2222222222222221</v>
      </c>
      <c r="AR16" s="8">
        <v>0.33333333333333331</v>
      </c>
      <c r="AS16" s="9">
        <v>0.70833333333333337</v>
      </c>
      <c r="AT16" s="49" cm="1">
        <f t="array" ref="AT16">SUM(IF((Table3[[#This Row],[TanggaK Produksi]]=Table5[Date])*('Daily Performance Monitoring '!$AR$2=Table5[Machine]),Table5[Downtime]))</f>
        <v>0</v>
      </c>
      <c r="AU16" s="50">
        <f t="shared" si="8"/>
        <v>0.37500000000000006</v>
      </c>
      <c r="AV16" s="14">
        <v>9</v>
      </c>
      <c r="AW16" s="15">
        <f t="shared" si="9"/>
        <v>0.99999999999999989</v>
      </c>
      <c r="AX16" s="8">
        <v>0.33333333333333331</v>
      </c>
      <c r="AY16" s="9">
        <v>0.70833333333333337</v>
      </c>
      <c r="AZ16" s="49" cm="1">
        <f t="array" ref="AZ16">SUM(IF((Table3[[#This Row],[TanggaK Produksi]]=Table5[Date])*('Daily Performance Monitoring '!$AX$2=Table5[Machine]),Table5[Downtime]))</f>
        <v>0</v>
      </c>
      <c r="BA16" s="50">
        <f t="shared" si="10"/>
        <v>0.37500000000000006</v>
      </c>
      <c r="BB16" s="14">
        <v>10</v>
      </c>
      <c r="BC16" s="15">
        <f t="shared" si="11"/>
        <v>1.1111111111111109</v>
      </c>
    </row>
    <row r="17" spans="1:55" x14ac:dyDescent="0.35">
      <c r="A17" s="7">
        <v>45916</v>
      </c>
      <c r="B17" s="8">
        <v>0.33333333333333331</v>
      </c>
      <c r="C17" s="9">
        <v>0.70833333333333337</v>
      </c>
      <c r="D17" s="49" cm="1">
        <f t="array" ref="D17">SUM(IF((Table3[[#This Row],[TanggaK Produksi]]=Table5[Date])*('Daily Performance Monitoring '!$B$2=Table5[Machine]),Table5[Downtime]))</f>
        <v>8.055555555555538E-3</v>
      </c>
      <c r="E17" s="50">
        <f t="shared" si="12"/>
        <v>0.36694444444444452</v>
      </c>
      <c r="F17" s="14">
        <v>10</v>
      </c>
      <c r="G17" s="15">
        <f t="shared" si="13"/>
        <v>1.1355034065102194</v>
      </c>
      <c r="H17" s="8">
        <v>0.33333333333333331</v>
      </c>
      <c r="I17" s="9">
        <v>0.70833333333333337</v>
      </c>
      <c r="J17" s="49" cm="1">
        <f t="array" ref="J17">SUM(IF((Table3[[#This Row],[TanggaK Produksi]]=Table5[Date])*('Daily Performance Monitoring '!$H$2=Table5[Machine]),Table5[Downtime]))</f>
        <v>0</v>
      </c>
      <c r="K17" s="50">
        <f t="shared" si="0"/>
        <v>0.37500000000000006</v>
      </c>
      <c r="L17" s="14">
        <v>12</v>
      </c>
      <c r="M17" s="15">
        <f t="shared" si="14"/>
        <v>1.3333333333333333</v>
      </c>
      <c r="N17" s="8">
        <v>0.33333333333333331</v>
      </c>
      <c r="O17" s="9">
        <v>0.70833333333333337</v>
      </c>
      <c r="P17" s="49" cm="1">
        <f t="array" ref="P17">SUM(IF((Table3[[#This Row],[TanggaK Produksi]]=Table5[Date])*('Daily Performance Monitoring '!$N$2=Table5[Machine]),Table5[Downtime]))</f>
        <v>0</v>
      </c>
      <c r="Q17" s="50">
        <f t="shared" si="1"/>
        <v>0.37500000000000006</v>
      </c>
      <c r="R17" s="14">
        <v>11</v>
      </c>
      <c r="S17" s="15">
        <f t="shared" si="15"/>
        <v>1.2222222222222221</v>
      </c>
      <c r="T17" s="8">
        <v>0.33333333333333331</v>
      </c>
      <c r="U17" s="9">
        <v>0.70833333333333337</v>
      </c>
      <c r="V17" s="49" cm="1">
        <f t="array" ref="V17">SUM(IF((Table3[[#This Row],[TanggaK Produksi]]=Table5[Date])*('Daily Performance Monitoring '!$T$2=Table5[Machine]),Table5[Downtime]))</f>
        <v>0</v>
      </c>
      <c r="W17" s="50">
        <f t="shared" si="2"/>
        <v>0.37500000000000006</v>
      </c>
      <c r="X17" s="14">
        <v>12</v>
      </c>
      <c r="Y17" s="15">
        <f t="shared" si="16"/>
        <v>1.3333333333333333</v>
      </c>
      <c r="Z17" s="8">
        <v>0.33333333333333331</v>
      </c>
      <c r="AA17" s="9">
        <v>0.70833333333333337</v>
      </c>
      <c r="AB17" s="49" cm="1">
        <f t="array" ref="AB17">SUM(IF((Table3[[#This Row],[TanggaK Produksi]]=Table5[Date])*('Daily Performance Monitoring '!$Z$2=Table5[Machine]),Table5[Downtime]))</f>
        <v>0</v>
      </c>
      <c r="AC17" s="50">
        <f t="shared" si="3"/>
        <v>0.37500000000000006</v>
      </c>
      <c r="AD17" s="14">
        <v>10</v>
      </c>
      <c r="AE17" s="15">
        <f t="shared" si="4"/>
        <v>1.1111111111111109</v>
      </c>
      <c r="AF17" s="8">
        <v>0.33333333333333331</v>
      </c>
      <c r="AG17" s="9">
        <v>0.70833333333333337</v>
      </c>
      <c r="AH17" s="49" cm="1">
        <f t="array" ref="AH17">SUM(IF((Table3[[#This Row],[TanggaK Produksi]]=Table5[Date])*('Daily Performance Monitoring '!$AF$2=Table5[Machine]),Table5[Downtime]))</f>
        <v>1.8888888888888899E-2</v>
      </c>
      <c r="AI17" s="50">
        <f t="shared" si="5"/>
        <v>0.35611111111111116</v>
      </c>
      <c r="AJ17" s="14">
        <v>10</v>
      </c>
      <c r="AK17" s="15">
        <f t="shared" si="6"/>
        <v>1.1700468018720749</v>
      </c>
      <c r="AL17" s="8">
        <v>0.33333333333333331</v>
      </c>
      <c r="AM17" s="9">
        <v>0.70833333333333337</v>
      </c>
      <c r="AN17" s="49" cm="1">
        <f t="array" ref="AN17">SUM(IF((Table3[[#This Row],[TanggaK Produksi]]=Table5[Date])*('Daily Performance Monitoring '!$AL$2=Table5[Machine]),Table5[Downtime]))</f>
        <v>0</v>
      </c>
      <c r="AO17" s="50">
        <f t="shared" si="17"/>
        <v>0.37500000000000006</v>
      </c>
      <c r="AP17" s="14">
        <v>9</v>
      </c>
      <c r="AQ17" s="15">
        <f t="shared" si="7"/>
        <v>0.99999999999999989</v>
      </c>
      <c r="AR17" s="8">
        <v>0.33333333333333331</v>
      </c>
      <c r="AS17" s="9">
        <v>0.70833333333333337</v>
      </c>
      <c r="AT17" s="49" cm="1">
        <f t="array" ref="AT17">SUM(IF((Table3[[#This Row],[TanggaK Produksi]]=Table5[Date])*('Daily Performance Monitoring '!$AR$2=Table5[Machine]),Table5[Downtime]))</f>
        <v>0</v>
      </c>
      <c r="AU17" s="50">
        <f t="shared" si="8"/>
        <v>0.37500000000000006</v>
      </c>
      <c r="AV17" s="14">
        <v>12</v>
      </c>
      <c r="AW17" s="15">
        <f t="shared" si="9"/>
        <v>1.3333333333333333</v>
      </c>
      <c r="AX17" s="8">
        <v>0.33333333333333331</v>
      </c>
      <c r="AY17" s="9">
        <v>0.70833333333333337</v>
      </c>
      <c r="AZ17" s="49" cm="1">
        <f t="array" ref="AZ17">SUM(IF((Table3[[#This Row],[TanggaK Produksi]]=Table5[Date])*('Daily Performance Monitoring '!$AX$2=Table5[Machine]),Table5[Downtime]))</f>
        <v>0</v>
      </c>
      <c r="BA17" s="50">
        <f t="shared" si="10"/>
        <v>0.37500000000000006</v>
      </c>
      <c r="BB17" s="14">
        <v>9</v>
      </c>
      <c r="BC17" s="15">
        <f t="shared" si="11"/>
        <v>0.99999999999999989</v>
      </c>
    </row>
    <row r="18" spans="1:55" x14ac:dyDescent="0.35">
      <c r="A18" s="7">
        <v>45917</v>
      </c>
      <c r="B18" s="8">
        <v>0.33333333333333331</v>
      </c>
      <c r="C18" s="9">
        <v>0.70833333333333337</v>
      </c>
      <c r="D18" s="49" cm="1">
        <f t="array" ref="D18">SUM(IF((Table3[[#This Row],[TanggaK Produksi]]=Table5[Date])*('Daily Performance Monitoring '!$B$2=Table5[Machine]),Table5[Downtime]))</f>
        <v>0</v>
      </c>
      <c r="E18" s="50">
        <f t="shared" si="12"/>
        <v>0.37500000000000006</v>
      </c>
      <c r="F18" s="14">
        <v>10</v>
      </c>
      <c r="G18" s="15">
        <f t="shared" si="13"/>
        <v>1.1111111111111109</v>
      </c>
      <c r="H18" s="8">
        <v>0.33333333333333331</v>
      </c>
      <c r="I18" s="9">
        <v>0.70833333333333337</v>
      </c>
      <c r="J18" s="49" cm="1">
        <f t="array" ref="J18">SUM(IF((Table3[[#This Row],[TanggaK Produksi]]=Table5[Date])*('Daily Performance Monitoring '!$H$2=Table5[Machine]),Table5[Downtime]))</f>
        <v>3.5555555555555562E-2</v>
      </c>
      <c r="K18" s="50">
        <f t="shared" si="0"/>
        <v>0.33944444444444449</v>
      </c>
      <c r="L18" s="14">
        <v>10</v>
      </c>
      <c r="M18" s="15">
        <f t="shared" si="14"/>
        <v>1.2274959083469719</v>
      </c>
      <c r="N18" s="8">
        <v>0.33333333333333331</v>
      </c>
      <c r="O18" s="9">
        <v>0.70833333333333337</v>
      </c>
      <c r="P18" s="49" cm="1">
        <f t="array" ref="P18">SUM(IF((Table3[[#This Row],[TanggaK Produksi]]=Table5[Date])*('Daily Performance Monitoring '!$N$2=Table5[Machine]),Table5[Downtime]))</f>
        <v>0</v>
      </c>
      <c r="Q18" s="50">
        <f t="shared" si="1"/>
        <v>0.37500000000000006</v>
      </c>
      <c r="R18" s="14">
        <v>12</v>
      </c>
      <c r="S18" s="15">
        <f t="shared" si="15"/>
        <v>1.3333333333333333</v>
      </c>
      <c r="T18" s="8">
        <v>0.33333333333333331</v>
      </c>
      <c r="U18" s="9">
        <v>0.70833333333333337</v>
      </c>
      <c r="V18" s="49" cm="1">
        <f t="array" ref="V18">SUM(IF((Table3[[#This Row],[TanggaK Produksi]]=Table5[Date])*('Daily Performance Monitoring '!$T$2=Table5[Machine]),Table5[Downtime]))</f>
        <v>2.3888888888888904E-2</v>
      </c>
      <c r="W18" s="50">
        <f t="shared" si="2"/>
        <v>0.35111111111111115</v>
      </c>
      <c r="X18" s="14">
        <v>9</v>
      </c>
      <c r="Y18" s="15">
        <f t="shared" si="16"/>
        <v>1.0680379746835442</v>
      </c>
      <c r="Z18" s="8">
        <v>0.33333333333333331</v>
      </c>
      <c r="AA18" s="9">
        <v>0.70833333333333337</v>
      </c>
      <c r="AB18" s="49" cm="1">
        <f t="array" ref="AB18">SUM(IF((Table3[[#This Row],[TanggaK Produksi]]=Table5[Date])*('Daily Performance Monitoring '!$Z$2=Table5[Machine]),Table5[Downtime]))</f>
        <v>0</v>
      </c>
      <c r="AC18" s="50">
        <f t="shared" si="3"/>
        <v>0.37500000000000006</v>
      </c>
      <c r="AD18" s="14">
        <v>11</v>
      </c>
      <c r="AE18" s="15">
        <f t="shared" si="4"/>
        <v>1.2222222222222221</v>
      </c>
      <c r="AF18" s="8">
        <v>0.33333333333333331</v>
      </c>
      <c r="AG18" s="9">
        <v>0.70833333333333337</v>
      </c>
      <c r="AH18" s="49" cm="1">
        <f t="array" ref="AH18">SUM(IF((Table3[[#This Row],[TanggaK Produksi]]=Table5[Date])*('Daily Performance Monitoring '!$AF$2=Table5[Machine]),Table5[Downtime]))</f>
        <v>0</v>
      </c>
      <c r="AI18" s="50">
        <f t="shared" si="5"/>
        <v>0.37500000000000006</v>
      </c>
      <c r="AJ18" s="14">
        <v>12</v>
      </c>
      <c r="AK18" s="15">
        <f t="shared" si="6"/>
        <v>1.3333333333333333</v>
      </c>
      <c r="AL18" s="8">
        <v>0.33333333333333331</v>
      </c>
      <c r="AM18" s="9">
        <v>0.70833333333333337</v>
      </c>
      <c r="AN18" s="49" cm="1">
        <f t="array" ref="AN18">SUM(IF((Table3[[#This Row],[TanggaK Produksi]]=Table5[Date])*('Daily Performance Monitoring '!$AL$2=Table5[Machine]),Table5[Downtime]))</f>
        <v>0</v>
      </c>
      <c r="AO18" s="50">
        <f t="shared" si="17"/>
        <v>0.37500000000000006</v>
      </c>
      <c r="AP18" s="14">
        <v>10</v>
      </c>
      <c r="AQ18" s="15">
        <f t="shared" si="7"/>
        <v>1.1111111111111109</v>
      </c>
      <c r="AR18" s="8">
        <v>0.33333333333333331</v>
      </c>
      <c r="AS18" s="9">
        <v>0.70833333333333337</v>
      </c>
      <c r="AT18" s="49" cm="1">
        <f t="array" ref="AT18">SUM(IF((Table3[[#This Row],[TanggaK Produksi]]=Table5[Date])*('Daily Performance Monitoring '!$AR$2=Table5[Machine]),Table5[Downtime]))</f>
        <v>1.3055555555555542E-2</v>
      </c>
      <c r="AU18" s="50">
        <f t="shared" si="8"/>
        <v>0.36194444444444451</v>
      </c>
      <c r="AV18" s="14">
        <v>12</v>
      </c>
      <c r="AW18" s="15">
        <f t="shared" si="9"/>
        <v>1.3814274750575593</v>
      </c>
      <c r="AX18" s="8">
        <v>0.33333333333333331</v>
      </c>
      <c r="AY18" s="9">
        <v>0.70833333333333337</v>
      </c>
      <c r="AZ18" s="49" cm="1">
        <f t="array" ref="AZ18">SUM(IF((Table3[[#This Row],[TanggaK Produksi]]=Table5[Date])*('Daily Performance Monitoring '!$AX$2=Table5[Machine]),Table5[Downtime]))</f>
        <v>2.8333333333333321E-2</v>
      </c>
      <c r="BA18" s="50">
        <f t="shared" si="10"/>
        <v>0.34666666666666673</v>
      </c>
      <c r="BB18" s="14">
        <v>12</v>
      </c>
      <c r="BC18" s="15">
        <f t="shared" si="11"/>
        <v>1.4423076923076918</v>
      </c>
    </row>
    <row r="19" spans="1:55" x14ac:dyDescent="0.35">
      <c r="A19" s="7">
        <v>45918</v>
      </c>
      <c r="B19" s="8">
        <v>0.33333333333333331</v>
      </c>
      <c r="C19" s="9">
        <v>0.70833333333333337</v>
      </c>
      <c r="D19" s="49" cm="1">
        <f t="array" ref="D19">SUM(IF((Table3[[#This Row],[TanggaK Produksi]]=Table5[Date])*('Daily Performance Monitoring '!$B$2=Table5[Machine]),Table5[Downtime]))</f>
        <v>0</v>
      </c>
      <c r="E19" s="50">
        <f>C19-B19-D19</f>
        <v>0.37500000000000006</v>
      </c>
      <c r="F19" s="14">
        <v>9</v>
      </c>
      <c r="G19" s="15">
        <f t="shared" si="13"/>
        <v>0.99999999999999989</v>
      </c>
      <c r="H19" s="8">
        <v>0.33333333333333331</v>
      </c>
      <c r="I19" s="9">
        <v>0.70833333333333337</v>
      </c>
      <c r="J19" s="49" cm="1">
        <f t="array" ref="J19">SUM(IF((Table3[[#This Row],[TanggaK Produksi]]=Table5[Date])*('Daily Performance Monitoring '!$H$2=Table5[Machine]),Table5[Downtime]))</f>
        <v>0</v>
      </c>
      <c r="K19" s="50">
        <f t="shared" si="0"/>
        <v>0.37500000000000006</v>
      </c>
      <c r="L19" s="14">
        <v>11</v>
      </c>
      <c r="M19" s="15">
        <f t="shared" si="14"/>
        <v>1.2222222222222221</v>
      </c>
      <c r="N19" s="8">
        <v>0.33333333333333331</v>
      </c>
      <c r="O19" s="9">
        <v>0.70833333333333337</v>
      </c>
      <c r="P19" s="49" cm="1">
        <f t="array" ref="P19">SUM(IF((Table3[[#This Row],[TanggaK Produksi]]=Table5[Date])*('Daily Performance Monitoring '!$N$2=Table5[Machine]),Table5[Downtime]))</f>
        <v>3.3333333333333548E-3</v>
      </c>
      <c r="Q19" s="50">
        <f t="shared" si="1"/>
        <v>0.3716666666666667</v>
      </c>
      <c r="R19" s="14">
        <v>10</v>
      </c>
      <c r="S19" s="15">
        <f t="shared" si="15"/>
        <v>1.1210762331838564</v>
      </c>
      <c r="T19" s="8">
        <v>0.33333333333333331</v>
      </c>
      <c r="U19" s="9">
        <v>0.70833333333333337</v>
      </c>
      <c r="V19" s="49" cm="1">
        <f t="array" ref="V19">SUM(IF((Table3[[#This Row],[TanggaK Produksi]]=Table5[Date])*('Daily Performance Monitoring '!$T$2=Table5[Machine]),Table5[Downtime]))</f>
        <v>0</v>
      </c>
      <c r="W19" s="50">
        <f t="shared" si="2"/>
        <v>0.37500000000000006</v>
      </c>
      <c r="X19" s="14">
        <v>11</v>
      </c>
      <c r="Y19" s="15">
        <f t="shared" si="16"/>
        <v>1.2222222222222221</v>
      </c>
      <c r="Z19" s="8">
        <v>0.33333333333333331</v>
      </c>
      <c r="AA19" s="9">
        <v>0.70833333333333337</v>
      </c>
      <c r="AB19" s="49" cm="1">
        <f t="array" ref="AB19">SUM(IF((Table3[[#This Row],[TanggaK Produksi]]=Table5[Date])*('Daily Performance Monitoring '!$Z$2=Table5[Machine]),Table5[Downtime]))</f>
        <v>0</v>
      </c>
      <c r="AC19" s="50">
        <f t="shared" si="3"/>
        <v>0.37500000000000006</v>
      </c>
      <c r="AD19" s="14">
        <v>10</v>
      </c>
      <c r="AE19" s="15">
        <f t="shared" si="4"/>
        <v>1.1111111111111109</v>
      </c>
      <c r="AF19" s="8">
        <v>0.33333333333333331</v>
      </c>
      <c r="AG19" s="9">
        <v>0.70833333333333337</v>
      </c>
      <c r="AH19" s="49" cm="1">
        <f t="array" ref="AH19">SUM(IF((Table3[[#This Row],[TanggaK Produksi]]=Table5[Date])*('Daily Performance Monitoring '!$AF$2=Table5[Machine]),Table5[Downtime]))</f>
        <v>0</v>
      </c>
      <c r="AI19" s="50">
        <f t="shared" si="5"/>
        <v>0.37500000000000006</v>
      </c>
      <c r="AJ19" s="14">
        <v>11</v>
      </c>
      <c r="AK19" s="15">
        <f t="shared" si="6"/>
        <v>1.2222222222222221</v>
      </c>
      <c r="AL19" s="8">
        <v>0.33333333333333331</v>
      </c>
      <c r="AM19" s="9">
        <v>0.70833333333333337</v>
      </c>
      <c r="AN19" s="49" cm="1">
        <f t="array" ref="AN19">SUM(IF((Table3[[#This Row],[TanggaK Produksi]]=Table5[Date])*('Daily Performance Monitoring '!$AL$2=Table5[Machine]),Table5[Downtime]))</f>
        <v>0</v>
      </c>
      <c r="AO19" s="50">
        <f t="shared" si="17"/>
        <v>0.37500000000000006</v>
      </c>
      <c r="AP19" s="14">
        <v>10</v>
      </c>
      <c r="AQ19" s="15">
        <f t="shared" si="7"/>
        <v>1.1111111111111109</v>
      </c>
      <c r="AR19" s="8">
        <v>0.33333333333333331</v>
      </c>
      <c r="AS19" s="9">
        <v>0.70833333333333337</v>
      </c>
      <c r="AT19" s="49" cm="1">
        <f t="array" ref="AT19">SUM(IF((Table3[[#This Row],[TanggaK Produksi]]=Table5[Date])*('Daily Performance Monitoring '!$AR$2=Table5[Machine]),Table5[Downtime]))</f>
        <v>0</v>
      </c>
      <c r="AU19" s="50">
        <f t="shared" si="8"/>
        <v>0.37500000000000006</v>
      </c>
      <c r="AV19" s="14">
        <v>11</v>
      </c>
      <c r="AW19" s="15">
        <f t="shared" si="9"/>
        <v>1.2222222222222221</v>
      </c>
      <c r="AX19" s="8">
        <v>0.33333333333333331</v>
      </c>
      <c r="AY19" s="9">
        <v>0.70833333333333337</v>
      </c>
      <c r="AZ19" s="49" cm="1">
        <f t="array" ref="AZ19">SUM(IF((Table3[[#This Row],[TanggaK Produksi]]=Table5[Date])*('Daily Performance Monitoring '!$AX$2=Table5[Machine]),Table5[Downtime]))</f>
        <v>0</v>
      </c>
      <c r="BA19" s="50">
        <f t="shared" si="10"/>
        <v>0.37500000000000006</v>
      </c>
      <c r="BB19" s="14">
        <v>12</v>
      </c>
      <c r="BC19" s="15">
        <f t="shared" si="11"/>
        <v>1.3333333333333333</v>
      </c>
    </row>
    <row r="20" spans="1:55" x14ac:dyDescent="0.35">
      <c r="A20" s="51" t="s">
        <v>42</v>
      </c>
      <c r="B20" s="8"/>
      <c r="C20" s="9"/>
      <c r="D20" s="49">
        <f>SUM(D4:D19)</f>
        <v>8.9444444444444438E-2</v>
      </c>
      <c r="E20" s="49">
        <f>SUM(E4:E19)/60</f>
        <v>9.8509259259259269E-2</v>
      </c>
      <c r="F20" s="14">
        <f>SUM(F4:F19)</f>
        <v>167</v>
      </c>
      <c r="G20" s="15">
        <f>F20/E20/1440</f>
        <v>1.1772723000281979</v>
      </c>
      <c r="H20" s="8"/>
      <c r="I20" s="9"/>
      <c r="J20" s="49">
        <f>SUM(J4:J19)</f>
        <v>4.9444444444444458E-2</v>
      </c>
      <c r="K20" s="49">
        <f>SUM(K4:K19)/60</f>
        <v>9.9175925925925931E-2</v>
      </c>
      <c r="L20" s="14">
        <f>SUM(L4:L19)</f>
        <v>166</v>
      </c>
      <c r="M20" s="15">
        <f>L20/K20/1440</f>
        <v>1.1623564559798338</v>
      </c>
      <c r="N20" s="8"/>
      <c r="O20" s="9"/>
      <c r="P20" s="49">
        <f>SUM(P4:P19)</f>
        <v>2.083333333333337E-2</v>
      </c>
      <c r="Q20" s="49">
        <f>SUM(Q4:Q19)/60</f>
        <v>9.9652777777777798E-2</v>
      </c>
      <c r="R20" s="14">
        <f>SUM(R4:R19)</f>
        <v>168</v>
      </c>
      <c r="S20" s="15">
        <f>R20/Q20/1440</f>
        <v>1.1707317073170729</v>
      </c>
      <c r="T20" s="8"/>
      <c r="U20" s="9"/>
      <c r="V20" s="49">
        <f>SUM(V4:V19)</f>
        <v>5.1388888888888928E-2</v>
      </c>
      <c r="W20" s="49">
        <f>SUM(W4:W19)/60</f>
        <v>9.914351851851852E-2</v>
      </c>
      <c r="X20" s="14">
        <f>SUM(X4:X19)</f>
        <v>164</v>
      </c>
      <c r="Y20" s="15">
        <f>X20/W20/1440</f>
        <v>1.1487275274340416</v>
      </c>
      <c r="Z20" s="8"/>
      <c r="AA20" s="9"/>
      <c r="AB20" s="49">
        <f>SUM(AB4:AB19)</f>
        <v>8.1388888888888899E-2</v>
      </c>
      <c r="AC20" s="49">
        <f>SUM(AC4:AC19)/60</f>
        <v>9.8643518518518533E-2</v>
      </c>
      <c r="AD20" s="14">
        <f>SUM(AD4:AD19)</f>
        <v>170</v>
      </c>
      <c r="AE20" s="15">
        <f>AD20/AC20/1440</f>
        <v>1.196789787393814</v>
      </c>
      <c r="AF20" s="8"/>
      <c r="AG20" s="9"/>
      <c r="AH20" s="49">
        <f>SUM(AH4:AH19)</f>
        <v>6.8333333333333357E-2</v>
      </c>
      <c r="AI20" s="49">
        <f>SUM(AI4:AI19)/60</f>
        <v>9.8861111111111122E-2</v>
      </c>
      <c r="AJ20" s="14">
        <f>SUM(AJ4:AJ19)</f>
        <v>170</v>
      </c>
      <c r="AK20" s="15">
        <f>AJ20/AI20/1440</f>
        <v>1.1941556617027254</v>
      </c>
      <c r="AL20" s="8"/>
      <c r="AM20" s="9"/>
      <c r="AN20" s="49">
        <f>SUM(AN4:AN19)</f>
        <v>8.4999999999999964E-2</v>
      </c>
      <c r="AO20" s="49">
        <f>SUM(AO4:AO19)/60</f>
        <v>9.8583333333333342E-2</v>
      </c>
      <c r="AP20" s="14">
        <f>SUM(AP4:AP19)</f>
        <v>171</v>
      </c>
      <c r="AQ20" s="15">
        <f>AP20/AO20/1440</f>
        <v>1.2045646661031275</v>
      </c>
      <c r="AR20" s="8"/>
      <c r="AS20" s="9"/>
      <c r="AT20" s="49">
        <f>SUM(AT4:AT19)</f>
        <v>0.17138888888888887</v>
      </c>
      <c r="AU20" s="49">
        <f>SUM(AU4:AU19)/60</f>
        <v>9.7143518518518518E-2</v>
      </c>
      <c r="AV20" s="14">
        <f>SUM(AV4:AV19)</f>
        <v>173</v>
      </c>
      <c r="AW20" s="15">
        <f>AV20/AU20/1440</f>
        <v>1.2367154363055806</v>
      </c>
      <c r="AX20" s="8"/>
      <c r="AY20" s="9"/>
      <c r="AZ20" s="49">
        <f>SUM(AZ4:AZ19)</f>
        <v>0.16027777777777774</v>
      </c>
      <c r="BA20" s="49">
        <f>SUM(BA4:BA19)/60</f>
        <v>9.7328703703703695E-2</v>
      </c>
      <c r="BB20" s="14">
        <f>SUM(BB4:BB19)</f>
        <v>166</v>
      </c>
      <c r="BC20" s="15">
        <f>BB20/BA20/1440</f>
        <v>1.1844170670218335</v>
      </c>
    </row>
    <row r="21" spans="1:55" x14ac:dyDescent="0.35">
      <c r="A21" s="39"/>
      <c r="B21" s="40"/>
      <c r="C21" s="41"/>
      <c r="D21" s="42"/>
      <c r="E21" s="43"/>
      <c r="F21" s="44"/>
      <c r="G21" s="45"/>
      <c r="H21" s="40"/>
      <c r="I21" s="41"/>
      <c r="J21" s="42"/>
      <c r="K21" s="43"/>
      <c r="L21" s="44"/>
      <c r="M21" s="45"/>
      <c r="N21" s="40"/>
      <c r="O21" s="41"/>
      <c r="P21" s="42"/>
      <c r="Q21" s="43"/>
      <c r="R21" s="44"/>
      <c r="S21" s="45"/>
      <c r="T21" s="40"/>
      <c r="U21" s="41"/>
      <c r="V21" s="42"/>
      <c r="W21" s="43"/>
      <c r="X21" s="44"/>
      <c r="Y21" s="45"/>
      <c r="Z21" s="40"/>
      <c r="AA21" s="41"/>
      <c r="AB21" s="42"/>
      <c r="AC21" s="43"/>
      <c r="AD21" s="44"/>
      <c r="AE21" s="45"/>
      <c r="AF21" s="40"/>
      <c r="AG21" s="41"/>
      <c r="AH21" s="42"/>
      <c r="AI21" s="43"/>
      <c r="AJ21" s="44"/>
      <c r="AK21" s="45"/>
      <c r="AL21" s="40"/>
      <c r="AM21" s="41"/>
      <c r="AN21" s="42"/>
      <c r="AO21" s="43"/>
      <c r="AP21" s="44"/>
      <c r="AQ21" s="45"/>
      <c r="AR21" s="40"/>
      <c r="AS21" s="41"/>
      <c r="AT21" s="42"/>
      <c r="AU21" s="43"/>
      <c r="AV21" s="44"/>
      <c r="AW21" s="45"/>
      <c r="AX21" s="40"/>
      <c r="AY21" s="41"/>
      <c r="AZ21" s="42"/>
      <c r="BA21" s="43"/>
      <c r="BB21" s="44"/>
      <c r="BC21" s="45"/>
    </row>
    <row r="22" spans="1:55" x14ac:dyDescent="0.35">
      <c r="A22" s="39"/>
      <c r="B22" s="40"/>
      <c r="C22" s="41"/>
      <c r="D22" s="42"/>
      <c r="E22" s="43"/>
      <c r="F22" s="44"/>
      <c r="G22" s="45"/>
      <c r="H22" s="40"/>
      <c r="I22" s="41"/>
      <c r="J22" s="42"/>
      <c r="K22" s="43"/>
      <c r="L22" s="44"/>
      <c r="M22" s="45"/>
      <c r="N22" s="40"/>
      <c r="O22" s="41"/>
      <c r="P22" s="42"/>
      <c r="Q22" s="43"/>
      <c r="R22" s="44"/>
      <c r="S22" s="45"/>
      <c r="T22" s="40"/>
      <c r="U22" s="41"/>
      <c r="V22" s="42"/>
      <c r="W22" s="43"/>
      <c r="X22" s="44"/>
      <c r="Y22" s="45"/>
      <c r="Z22" s="40"/>
      <c r="AA22" s="41"/>
      <c r="AB22" s="42"/>
      <c r="AC22" s="43"/>
      <c r="AD22" s="44"/>
      <c r="AE22" s="45"/>
      <c r="AF22" s="40"/>
      <c r="AG22" s="41"/>
      <c r="AH22" s="42"/>
      <c r="AI22" s="43"/>
      <c r="AJ22" s="44"/>
      <c r="AK22" s="45"/>
      <c r="AL22" s="40"/>
      <c r="AM22" s="41"/>
      <c r="AN22" s="42"/>
      <c r="AO22" s="43"/>
      <c r="AP22" s="44"/>
      <c r="AQ22" s="45"/>
      <c r="AR22" s="40"/>
      <c r="AS22" s="41"/>
      <c r="AT22" s="42"/>
      <c r="AU22" s="43"/>
      <c r="AV22" s="44"/>
      <c r="AW22" s="45"/>
      <c r="AX22" s="40"/>
      <c r="AY22" s="41"/>
      <c r="AZ22" s="42"/>
      <c r="BA22" s="43"/>
      <c r="BB22" s="44"/>
      <c r="BC22" s="45"/>
    </row>
    <row r="24" spans="1:55" x14ac:dyDescent="0.35">
      <c r="D24" s="5"/>
    </row>
  </sheetData>
  <phoneticPr fontId="4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9354-98F3-4267-8A7B-3F5B317DAE9E}">
  <dimension ref="B1:U38"/>
  <sheetViews>
    <sheetView topLeftCell="B1" zoomScale="68" zoomScaleNormal="68" workbookViewId="0">
      <selection activeCell="F46" sqref="F46"/>
    </sheetView>
  </sheetViews>
  <sheetFormatPr defaultRowHeight="14.5" x14ac:dyDescent="0.35"/>
  <cols>
    <col min="1" max="1" width="2.81640625" customWidth="1"/>
    <col min="2" max="2" width="14.90625" bestFit="1" customWidth="1"/>
    <col min="3" max="3" width="14.90625" customWidth="1"/>
    <col min="4" max="4" width="17" customWidth="1"/>
    <col min="5" max="5" width="15.90625" style="1" customWidth="1"/>
    <col min="6" max="6" width="16.1796875" style="2" customWidth="1"/>
    <col min="7" max="7" width="16.36328125" style="5" bestFit="1" customWidth="1"/>
    <col min="8" max="9" width="7.90625" bestFit="1" customWidth="1"/>
    <col min="10" max="10" width="16.36328125" bestFit="1" customWidth="1"/>
    <col min="11" max="11" width="16.36328125" customWidth="1"/>
    <col min="12" max="13" width="7.90625" bestFit="1" customWidth="1"/>
    <col min="14" max="14" width="16.36328125" bestFit="1" customWidth="1"/>
  </cols>
  <sheetData>
    <row r="1" spans="2:21" ht="15.5" x14ac:dyDescent="0.35">
      <c r="B1" s="28" t="s">
        <v>20</v>
      </c>
      <c r="C1" s="28" t="s">
        <v>15</v>
      </c>
      <c r="D1" s="28" t="s">
        <v>17</v>
      </c>
      <c r="E1" s="28" t="s">
        <v>21</v>
      </c>
      <c r="F1" s="28" t="s">
        <v>22</v>
      </c>
      <c r="G1" s="28" t="s">
        <v>13</v>
      </c>
    </row>
    <row r="2" spans="2:21" x14ac:dyDescent="0.35">
      <c r="B2" s="4">
        <v>45901</v>
      </c>
      <c r="C2" t="s">
        <v>3</v>
      </c>
      <c r="D2" t="s">
        <v>32</v>
      </c>
      <c r="E2" s="1">
        <v>0.33333333333333331</v>
      </c>
      <c r="F2" s="2">
        <v>0.34027777777777779</v>
      </c>
      <c r="G2" s="5">
        <f>F2-E2</f>
        <v>6.9444444444444753E-3</v>
      </c>
    </row>
    <row r="3" spans="2:21" x14ac:dyDescent="0.35">
      <c r="B3" s="4">
        <v>45901</v>
      </c>
      <c r="C3" t="s">
        <v>3</v>
      </c>
      <c r="D3" t="s">
        <v>32</v>
      </c>
      <c r="E3" s="1">
        <v>0.33333333333333331</v>
      </c>
      <c r="F3" s="2">
        <v>0.34722222222222221</v>
      </c>
      <c r="G3" s="5">
        <f t="shared" ref="G3:G66" si="0">F3-E3</f>
        <v>1.3888888888888895E-2</v>
      </c>
      <c r="H3" s="1"/>
      <c r="K3" s="6"/>
      <c r="L3" s="1"/>
      <c r="M3" s="2"/>
      <c r="N3" s="5"/>
    </row>
    <row r="4" spans="2:21" hidden="1" x14ac:dyDescent="0.35">
      <c r="B4" s="4">
        <v>45901</v>
      </c>
      <c r="C4" s="35" t="s">
        <v>4</v>
      </c>
      <c r="D4" t="s">
        <v>33</v>
      </c>
      <c r="E4" s="1">
        <v>0.33333333333333331</v>
      </c>
      <c r="F4" s="2">
        <v>0.34722222222222221</v>
      </c>
      <c r="G4" s="5">
        <f t="shared" si="0"/>
        <v>1.3888888888888895E-2</v>
      </c>
      <c r="H4" s="1"/>
      <c r="I4" t="s">
        <v>36</v>
      </c>
      <c r="J4" s="37">
        <v>2</v>
      </c>
      <c r="K4" s="34">
        <v>2</v>
      </c>
      <c r="L4" s="1"/>
      <c r="M4" s="33">
        <v>126</v>
      </c>
      <c r="N4" s="36">
        <f>M4/3600</f>
        <v>3.5000000000000003E-2</v>
      </c>
      <c r="Q4" s="33">
        <v>3</v>
      </c>
      <c r="R4" t="str" cm="1">
        <f t="array" ref="R4">_xlfn.IFS(Q4=1,"Jarum patah",Q4=2,"Bundet bawah",Q4=3,"Bundet atas",Q4=4,"Benang putus",Q4=5,"Sensor lepas",Q4=6,"Mesin mati")</f>
        <v>Bundet atas</v>
      </c>
      <c r="U4" s="34" t="str">
        <f>_xlfn.CONCAT(I4,J4)</f>
        <v>BRDR2</v>
      </c>
    </row>
    <row r="5" spans="2:21" hidden="1" x14ac:dyDescent="0.35">
      <c r="B5" s="4">
        <v>45902</v>
      </c>
      <c r="C5" s="35" t="s">
        <v>6</v>
      </c>
      <c r="D5" t="s">
        <v>31</v>
      </c>
      <c r="E5" s="1">
        <v>0.33333333333333298</v>
      </c>
      <c r="F5" s="2">
        <f>Table5[[#This Row],[Downtime Start]]+N5</f>
        <v>0.350833333333333</v>
      </c>
      <c r="G5" s="5">
        <f t="shared" si="0"/>
        <v>1.7500000000000016E-2</v>
      </c>
      <c r="H5" s="1"/>
      <c r="I5" t="s">
        <v>36</v>
      </c>
      <c r="J5" s="37">
        <v>4</v>
      </c>
      <c r="K5" s="34">
        <v>4</v>
      </c>
      <c r="L5" s="1"/>
      <c r="M5" s="33">
        <v>63</v>
      </c>
      <c r="N5" s="36">
        <f t="shared" ref="N5:N38" si="1">M5/3600</f>
        <v>1.7500000000000002E-2</v>
      </c>
      <c r="Q5" s="33">
        <v>3</v>
      </c>
      <c r="R5" t="str" cm="1">
        <f t="array" ref="R5">_xlfn.IFS(Q5=1,"Jarum patah",Q5=2,"Bundet bawah",Q5=3,"Bundet atas",Q5=4,"Benang putus",Q5=5,"Sensor lepas",Q5=6,"Mesin mati")</f>
        <v>Bundet atas</v>
      </c>
      <c r="U5" s="34" t="str">
        <f t="shared" ref="U5:U38" si="2">_xlfn.CONCAT(I5,J5)</f>
        <v>BRDR4</v>
      </c>
    </row>
    <row r="6" spans="2:21" hidden="1" x14ac:dyDescent="0.35">
      <c r="B6" s="4">
        <v>45902</v>
      </c>
      <c r="C6" s="35" t="s">
        <v>10</v>
      </c>
      <c r="D6" t="s">
        <v>12</v>
      </c>
      <c r="E6" s="1">
        <v>0.33333333333333298</v>
      </c>
      <c r="F6" s="2">
        <f>Table5[[#This Row],[Downtime Start]]+N6</f>
        <v>0.36305555555555519</v>
      </c>
      <c r="G6" s="5">
        <f t="shared" si="0"/>
        <v>2.9722222222222205E-2</v>
      </c>
      <c r="H6" s="1"/>
      <c r="I6" t="s">
        <v>36</v>
      </c>
      <c r="J6" s="37">
        <v>8</v>
      </c>
      <c r="K6" s="34">
        <v>8</v>
      </c>
      <c r="L6" s="1"/>
      <c r="M6" s="33">
        <v>107</v>
      </c>
      <c r="N6" s="36">
        <f t="shared" si="1"/>
        <v>2.9722222222222223E-2</v>
      </c>
      <c r="Q6" s="33">
        <v>4</v>
      </c>
      <c r="R6" t="str" cm="1">
        <f t="array" ref="R6">_xlfn.IFS(Q6=1,"Jarum patah",Q6=2,"Bundet bawah",Q6=3,"Bundet atas",Q6=4,"Benang putus",Q6=5,"Sensor lepas",Q6=6,"Mesin mati")</f>
        <v>Benang putus</v>
      </c>
      <c r="U6" s="34" t="str">
        <f t="shared" si="2"/>
        <v>BRDR8</v>
      </c>
    </row>
    <row r="7" spans="2:21" hidden="1" x14ac:dyDescent="0.35">
      <c r="B7" s="4">
        <v>45902</v>
      </c>
      <c r="C7" s="35" t="s">
        <v>10</v>
      </c>
      <c r="D7" t="s">
        <v>31</v>
      </c>
      <c r="E7" s="1">
        <v>0.33333333333333298</v>
      </c>
      <c r="F7" s="2">
        <f>Table5[[#This Row],[Downtime Start]]+N7</f>
        <v>0.36749999999999966</v>
      </c>
      <c r="G7" s="5">
        <f t="shared" si="0"/>
        <v>3.4166666666666679E-2</v>
      </c>
      <c r="H7" s="1"/>
      <c r="I7" t="s">
        <v>36</v>
      </c>
      <c r="J7" s="37">
        <v>8</v>
      </c>
      <c r="K7" s="34">
        <v>8</v>
      </c>
      <c r="L7" s="1"/>
      <c r="M7" s="33">
        <v>123</v>
      </c>
      <c r="N7" s="36">
        <f t="shared" si="1"/>
        <v>3.4166666666666665E-2</v>
      </c>
      <c r="Q7" s="33">
        <v>6</v>
      </c>
      <c r="R7" t="str" cm="1">
        <f t="array" ref="R7">_xlfn.IFS(Q7=1,"Jarum patah",Q7=2,"Bundet bawah",Q7=3,"Bundet atas",Q7=4,"Benang putus",Q7=5,"Sensor lepas",Q7=6,"Mesin mati")</f>
        <v>Mesin mati</v>
      </c>
      <c r="U7" s="34" t="str">
        <f t="shared" si="2"/>
        <v>BRDR8</v>
      </c>
    </row>
    <row r="8" spans="2:21" hidden="1" x14ac:dyDescent="0.35">
      <c r="B8" s="4">
        <v>45902</v>
      </c>
      <c r="C8" s="35" t="s">
        <v>7</v>
      </c>
      <c r="D8" t="s">
        <v>33</v>
      </c>
      <c r="E8" s="1">
        <v>0.33333333333333298</v>
      </c>
      <c r="F8" s="2">
        <f>Table5[[#This Row],[Downtime Start]]+N8</f>
        <v>0.33555555555555522</v>
      </c>
      <c r="G8" s="5">
        <f t="shared" si="0"/>
        <v>2.2222222222222365E-3</v>
      </c>
      <c r="H8" s="1"/>
      <c r="I8" t="s">
        <v>36</v>
      </c>
      <c r="J8" s="37">
        <v>5</v>
      </c>
      <c r="K8" s="34">
        <v>5</v>
      </c>
      <c r="L8" s="1"/>
      <c r="M8" s="33">
        <v>8</v>
      </c>
      <c r="N8" s="36">
        <f t="shared" si="1"/>
        <v>2.2222222222222222E-3</v>
      </c>
      <c r="Q8" s="33">
        <v>1</v>
      </c>
      <c r="R8" t="str" cm="1">
        <f t="array" ref="R8">_xlfn.IFS(Q8=1,"Jarum patah",Q8=2,"Bundet bawah",Q8=3,"Bundet atas",Q8=4,"Benang putus",Q8=5,"Sensor lepas",Q8=6,"Mesin mati")</f>
        <v>Jarum patah</v>
      </c>
      <c r="U8" s="34" t="str">
        <f t="shared" si="2"/>
        <v>BRDR5</v>
      </c>
    </row>
    <row r="9" spans="2:21" hidden="1" x14ac:dyDescent="0.35">
      <c r="B9" s="4">
        <v>45903</v>
      </c>
      <c r="C9" s="35" t="s">
        <v>10</v>
      </c>
      <c r="D9" t="s">
        <v>32</v>
      </c>
      <c r="E9" s="1">
        <v>0.33333333333333298</v>
      </c>
      <c r="F9" s="2">
        <f>Table5[[#This Row],[Downtime Start]]+N9</f>
        <v>0.38222222222222185</v>
      </c>
      <c r="G9" s="5">
        <f t="shared" si="0"/>
        <v>4.8888888888888871E-2</v>
      </c>
      <c r="H9" s="1"/>
      <c r="I9" t="s">
        <v>36</v>
      </c>
      <c r="J9" s="37">
        <v>8</v>
      </c>
      <c r="K9" s="34">
        <v>8</v>
      </c>
      <c r="L9" s="1"/>
      <c r="M9" s="33">
        <v>176</v>
      </c>
      <c r="N9" s="36">
        <f t="shared" si="1"/>
        <v>4.8888888888888891E-2</v>
      </c>
      <c r="Q9" s="33">
        <v>6</v>
      </c>
      <c r="R9" t="str" cm="1">
        <f t="array" ref="R9">_xlfn.IFS(Q9=1,"Jarum patah",Q9=2,"Bundet bawah",Q9=3,"Bundet atas",Q9=4,"Benang putus",Q9=5,"Sensor lepas",Q9=6,"Mesin mati")</f>
        <v>Mesin mati</v>
      </c>
      <c r="U9" s="34" t="str">
        <f t="shared" si="2"/>
        <v>BRDR8</v>
      </c>
    </row>
    <row r="10" spans="2:21" hidden="1" x14ac:dyDescent="0.35">
      <c r="B10" s="4">
        <v>45903</v>
      </c>
      <c r="C10" s="35" t="s">
        <v>11</v>
      </c>
      <c r="D10" t="s">
        <v>31</v>
      </c>
      <c r="E10" s="1">
        <v>0.33333333333333298</v>
      </c>
      <c r="F10" s="2">
        <f>Table5[[#This Row],[Downtime Start]]+N10</f>
        <v>0.37888888888888855</v>
      </c>
      <c r="G10" s="5">
        <f t="shared" si="0"/>
        <v>4.5555555555555571E-2</v>
      </c>
      <c r="H10" s="1"/>
      <c r="I10" t="s">
        <v>36</v>
      </c>
      <c r="J10" s="37">
        <v>9</v>
      </c>
      <c r="K10" s="34">
        <v>9</v>
      </c>
      <c r="L10" s="1"/>
      <c r="M10" s="33">
        <v>164</v>
      </c>
      <c r="N10" s="36">
        <f t="shared" si="1"/>
        <v>4.5555555555555557E-2</v>
      </c>
      <c r="Q10" s="33">
        <v>4</v>
      </c>
      <c r="R10" t="str" cm="1">
        <f t="array" ref="R10">_xlfn.IFS(Q10=1,"Jarum patah",Q10=2,"Bundet bawah",Q10=3,"Bundet atas",Q10=4,"Benang putus",Q10=5,"Sensor lepas",Q10=6,"Mesin mati")</f>
        <v>Benang putus</v>
      </c>
      <c r="U10" s="34" t="str">
        <f t="shared" si="2"/>
        <v>BRDR9</v>
      </c>
    </row>
    <row r="11" spans="2:21" hidden="1" x14ac:dyDescent="0.35">
      <c r="B11" s="4">
        <v>45904</v>
      </c>
      <c r="C11" s="35" t="s">
        <v>10</v>
      </c>
      <c r="D11" t="s">
        <v>32</v>
      </c>
      <c r="E11" s="1">
        <v>0.33333333333333298</v>
      </c>
      <c r="F11" s="2">
        <f>Table5[[#This Row],[Downtime Start]]+N11</f>
        <v>0.36527777777777742</v>
      </c>
      <c r="G11" s="5">
        <f t="shared" si="0"/>
        <v>3.1944444444444442E-2</v>
      </c>
      <c r="H11" s="1"/>
      <c r="I11" t="s">
        <v>36</v>
      </c>
      <c r="J11" s="37">
        <v>8</v>
      </c>
      <c r="K11" s="34">
        <v>8</v>
      </c>
      <c r="L11" s="1"/>
      <c r="M11" s="33">
        <v>115</v>
      </c>
      <c r="N11" s="36">
        <f t="shared" si="1"/>
        <v>3.1944444444444442E-2</v>
      </c>
      <c r="Q11" s="33">
        <v>3</v>
      </c>
      <c r="R11" t="str" cm="1">
        <f t="array" ref="R11">_xlfn.IFS(Q11=1,"Jarum patah",Q11=2,"Bundet bawah",Q11=3,"Bundet atas",Q11=4,"Benang putus",Q11=5,"Sensor lepas",Q11=6,"Mesin mati")</f>
        <v>Bundet atas</v>
      </c>
      <c r="U11" s="34" t="str">
        <f t="shared" si="2"/>
        <v>BRDR8</v>
      </c>
    </row>
    <row r="12" spans="2:21" hidden="1" x14ac:dyDescent="0.35">
      <c r="B12" s="4">
        <v>45905</v>
      </c>
      <c r="C12" s="35" t="s">
        <v>11</v>
      </c>
      <c r="D12" t="s">
        <v>34</v>
      </c>
      <c r="E12" s="1">
        <v>0.33333333333333298</v>
      </c>
      <c r="F12" s="2">
        <f>Table5[[#This Row],[Downtime Start]]+N12</f>
        <v>0.37444444444444408</v>
      </c>
      <c r="G12" s="5">
        <f t="shared" si="0"/>
        <v>4.1111111111111098E-2</v>
      </c>
      <c r="H12" s="1"/>
      <c r="I12" t="s">
        <v>36</v>
      </c>
      <c r="J12" s="37">
        <v>9</v>
      </c>
      <c r="K12" s="34">
        <v>9</v>
      </c>
      <c r="L12" s="1"/>
      <c r="M12" s="33">
        <v>148</v>
      </c>
      <c r="N12" s="36">
        <f t="shared" si="1"/>
        <v>4.1111111111111112E-2</v>
      </c>
      <c r="Q12" s="33">
        <v>6</v>
      </c>
      <c r="R12" t="str" cm="1">
        <f t="array" ref="R12">_xlfn.IFS(Q12=1,"Jarum patah",Q12=2,"Bundet bawah",Q12=3,"Bundet atas",Q12=4,"Benang putus",Q12=5,"Sensor lepas",Q12=6,"Mesin mati")</f>
        <v>Mesin mati</v>
      </c>
      <c r="U12" s="34" t="str">
        <f t="shared" si="2"/>
        <v>BRDR9</v>
      </c>
    </row>
    <row r="13" spans="2:21" hidden="1" x14ac:dyDescent="0.35">
      <c r="B13" s="4">
        <v>45905</v>
      </c>
      <c r="C13" s="35" t="s">
        <v>7</v>
      </c>
      <c r="D13" t="s">
        <v>35</v>
      </c>
      <c r="E13" s="1">
        <v>0.33333333333333298</v>
      </c>
      <c r="F13" s="2">
        <f>Table5[[#This Row],[Downtime Start]]+N13</f>
        <v>0.34888888888888853</v>
      </c>
      <c r="G13" s="5">
        <f t="shared" si="0"/>
        <v>1.5555555555555545E-2</v>
      </c>
      <c r="H13" s="1"/>
      <c r="I13" t="s">
        <v>36</v>
      </c>
      <c r="J13" s="37">
        <v>5</v>
      </c>
      <c r="K13" s="34">
        <v>5</v>
      </c>
      <c r="L13" s="1"/>
      <c r="M13" s="33">
        <v>56</v>
      </c>
      <c r="N13" s="36">
        <f t="shared" si="1"/>
        <v>1.5555555555555555E-2</v>
      </c>
      <c r="Q13" s="33">
        <v>3</v>
      </c>
      <c r="R13" t="str" cm="1">
        <f t="array" ref="R13">_xlfn.IFS(Q13=1,"Jarum patah",Q13=2,"Bundet bawah",Q13=3,"Bundet atas",Q13=4,"Benang putus",Q13=5,"Sensor lepas",Q13=6,"Mesin mati")</f>
        <v>Bundet atas</v>
      </c>
      <c r="U13" s="34" t="str">
        <f t="shared" si="2"/>
        <v>BRDR5</v>
      </c>
    </row>
    <row r="14" spans="2:21" hidden="1" x14ac:dyDescent="0.35">
      <c r="B14" s="4">
        <v>45905</v>
      </c>
      <c r="C14" s="35" t="s">
        <v>7</v>
      </c>
      <c r="D14" t="s">
        <v>31</v>
      </c>
      <c r="E14" s="1">
        <v>0.33333333333333298</v>
      </c>
      <c r="F14" s="2">
        <f>Table5[[#This Row],[Downtime Start]]+N14</f>
        <v>0.35749999999999965</v>
      </c>
      <c r="G14" s="5">
        <f t="shared" si="0"/>
        <v>2.416666666666667E-2</v>
      </c>
      <c r="H14" s="1"/>
      <c r="I14" t="s">
        <v>36</v>
      </c>
      <c r="J14" s="37">
        <v>5</v>
      </c>
      <c r="K14" s="34">
        <v>5</v>
      </c>
      <c r="L14" s="1"/>
      <c r="M14" s="33">
        <v>87</v>
      </c>
      <c r="N14" s="36">
        <f t="shared" si="1"/>
        <v>2.4166666666666666E-2</v>
      </c>
      <c r="Q14" s="33">
        <v>5</v>
      </c>
      <c r="R14" t="str" cm="1">
        <f t="array" ref="R14">_xlfn.IFS(Q14=1,"Jarum patah",Q14=2,"Bundet bawah",Q14=3,"Bundet atas",Q14=4,"Benang putus",Q14=5,"Sensor lepas",Q14=6,"Mesin mati")</f>
        <v>Sensor lepas</v>
      </c>
      <c r="U14" s="34" t="str">
        <f t="shared" si="2"/>
        <v>BRDR5</v>
      </c>
    </row>
    <row r="15" spans="2:21" hidden="1" x14ac:dyDescent="0.35">
      <c r="B15" s="4">
        <v>45906</v>
      </c>
      <c r="C15" s="35" t="s">
        <v>6</v>
      </c>
      <c r="D15" t="s">
        <v>32</v>
      </c>
      <c r="E15" s="1">
        <v>0.33333333333333298</v>
      </c>
      <c r="F15" s="2">
        <f>Table5[[#This Row],[Downtime Start]]+N15</f>
        <v>0.34333333333333299</v>
      </c>
      <c r="G15" s="5">
        <f t="shared" si="0"/>
        <v>1.0000000000000009E-2</v>
      </c>
      <c r="H15" s="1"/>
      <c r="I15" t="s">
        <v>36</v>
      </c>
      <c r="J15" s="37">
        <v>4</v>
      </c>
      <c r="K15" s="34">
        <v>4</v>
      </c>
      <c r="L15" s="1"/>
      <c r="M15" s="33">
        <v>36</v>
      </c>
      <c r="N15" s="36">
        <f t="shared" si="1"/>
        <v>0.01</v>
      </c>
      <c r="Q15" s="33">
        <v>2</v>
      </c>
      <c r="R15" t="str" cm="1">
        <f t="array" ref="R15">_xlfn.IFS(Q15=1,"Jarum patah",Q15=2,"Bundet bawah",Q15=3,"Bundet atas",Q15=4,"Benang putus",Q15=5,"Sensor lepas",Q15=6,"Mesin mati")</f>
        <v>Bundet bawah</v>
      </c>
      <c r="U15" s="34" t="str">
        <f t="shared" si="2"/>
        <v>BRDR4</v>
      </c>
    </row>
    <row r="16" spans="2:21" hidden="1" x14ac:dyDescent="0.35">
      <c r="B16" s="4">
        <v>45906</v>
      </c>
      <c r="C16" s="35" t="s">
        <v>9</v>
      </c>
      <c r="D16" t="s">
        <v>35</v>
      </c>
      <c r="E16" s="1">
        <v>0.33333333333333298</v>
      </c>
      <c r="F16" s="2">
        <f>Table5[[#This Row],[Downtime Start]]+N16</f>
        <v>0.36499999999999966</v>
      </c>
      <c r="G16" s="5">
        <f t="shared" si="0"/>
        <v>3.1666666666666676E-2</v>
      </c>
      <c r="H16" s="1"/>
      <c r="I16" t="s">
        <v>36</v>
      </c>
      <c r="J16" s="37">
        <v>7</v>
      </c>
      <c r="K16" s="34">
        <v>7</v>
      </c>
      <c r="L16" s="1"/>
      <c r="M16" s="33">
        <v>114</v>
      </c>
      <c r="N16" s="36">
        <f t="shared" si="1"/>
        <v>3.1666666666666669E-2</v>
      </c>
      <c r="Q16" s="33">
        <v>6</v>
      </c>
      <c r="R16" t="str" cm="1">
        <f t="array" ref="R16">_xlfn.IFS(Q16=1,"Jarum patah",Q16=2,"Bundet bawah",Q16=3,"Bundet atas",Q16=4,"Benang putus",Q16=5,"Sensor lepas",Q16=6,"Mesin mati")</f>
        <v>Mesin mati</v>
      </c>
      <c r="U16" s="34" t="str">
        <f t="shared" si="2"/>
        <v>BRDR7</v>
      </c>
    </row>
    <row r="17" spans="2:21" hidden="1" x14ac:dyDescent="0.35">
      <c r="B17" s="4">
        <v>45908</v>
      </c>
      <c r="C17" s="35" t="s">
        <v>5</v>
      </c>
      <c r="D17" t="s">
        <v>33</v>
      </c>
      <c r="E17" s="1">
        <v>0.33333333333333298</v>
      </c>
      <c r="F17" s="2">
        <f>Table5[[#This Row],[Downtime Start]]+N17</f>
        <v>0.350833333333333</v>
      </c>
      <c r="G17" s="5">
        <f t="shared" si="0"/>
        <v>1.7500000000000016E-2</v>
      </c>
      <c r="H17" s="1"/>
      <c r="I17" t="s">
        <v>36</v>
      </c>
      <c r="J17" s="37">
        <v>3</v>
      </c>
      <c r="K17" s="34">
        <v>3</v>
      </c>
      <c r="L17" s="1"/>
      <c r="M17" s="33">
        <v>63</v>
      </c>
      <c r="N17" s="36">
        <f t="shared" si="1"/>
        <v>1.7500000000000002E-2</v>
      </c>
      <c r="Q17" s="33">
        <v>3</v>
      </c>
      <c r="R17" t="str" cm="1">
        <f t="array" ref="R17">_xlfn.IFS(Q17=1,"Jarum patah",Q17=2,"Bundet bawah",Q17=3,"Bundet atas",Q17=4,"Benang putus",Q17=5,"Sensor lepas",Q17=6,"Mesin mati")</f>
        <v>Bundet atas</v>
      </c>
      <c r="U17" s="34" t="str">
        <f t="shared" si="2"/>
        <v>BRDR3</v>
      </c>
    </row>
    <row r="18" spans="2:21" hidden="1" x14ac:dyDescent="0.35">
      <c r="B18" s="4">
        <v>45909</v>
      </c>
      <c r="C18" s="35" t="s">
        <v>7</v>
      </c>
      <c r="D18" t="s">
        <v>35</v>
      </c>
      <c r="E18" s="1">
        <v>0.33333333333333298</v>
      </c>
      <c r="F18" s="2">
        <f>Table5[[#This Row],[Downtime Start]]+N18</f>
        <v>0.36749999999999966</v>
      </c>
      <c r="G18" s="5">
        <f t="shared" si="0"/>
        <v>3.4166666666666679E-2</v>
      </c>
      <c r="H18" s="1"/>
      <c r="I18" t="s">
        <v>36</v>
      </c>
      <c r="J18" s="37">
        <v>5</v>
      </c>
      <c r="K18" s="34">
        <v>5</v>
      </c>
      <c r="L18" s="1"/>
      <c r="M18" s="33">
        <v>123</v>
      </c>
      <c r="N18" s="36">
        <f t="shared" si="1"/>
        <v>3.4166666666666665E-2</v>
      </c>
      <c r="Q18" s="33">
        <v>2</v>
      </c>
      <c r="R18" t="str" cm="1">
        <f t="array" ref="R18">_xlfn.IFS(Q18=1,"Jarum patah",Q18=2,"Bundet bawah",Q18=3,"Bundet atas",Q18=4,"Benang putus",Q18=5,"Sensor lepas",Q18=6,"Mesin mati")</f>
        <v>Bundet bawah</v>
      </c>
      <c r="U18" s="34" t="str">
        <f t="shared" si="2"/>
        <v>BRDR5</v>
      </c>
    </row>
    <row r="19" spans="2:21" hidden="1" x14ac:dyDescent="0.35">
      <c r="B19" s="4">
        <v>45909</v>
      </c>
      <c r="C19" s="35" t="s">
        <v>11</v>
      </c>
      <c r="D19" t="s">
        <v>32</v>
      </c>
      <c r="E19" s="1">
        <v>0.33333333333333298</v>
      </c>
      <c r="F19" s="2">
        <f>Table5[[#This Row],[Downtime Start]]+N19</f>
        <v>0.3541666666666663</v>
      </c>
      <c r="G19" s="5">
        <f t="shared" si="0"/>
        <v>2.0833333333333315E-2</v>
      </c>
      <c r="I19" t="s">
        <v>36</v>
      </c>
      <c r="J19" s="37">
        <v>9</v>
      </c>
      <c r="K19" s="34">
        <v>9</v>
      </c>
      <c r="M19" s="33">
        <v>75</v>
      </c>
      <c r="N19" s="36">
        <f t="shared" si="1"/>
        <v>2.0833333333333332E-2</v>
      </c>
      <c r="Q19" s="33">
        <v>4</v>
      </c>
      <c r="R19" t="str" cm="1">
        <f t="array" ref="R19">_xlfn.IFS(Q19=1,"Jarum patah",Q19=2,"Bundet bawah",Q19=3,"Bundet atas",Q19=4,"Benang putus",Q19=5,"Sensor lepas",Q19=6,"Mesin mati")</f>
        <v>Benang putus</v>
      </c>
      <c r="U19" s="34" t="str">
        <f t="shared" si="2"/>
        <v>BRDR9</v>
      </c>
    </row>
    <row r="20" spans="2:21" hidden="1" x14ac:dyDescent="0.35">
      <c r="B20" s="4">
        <v>45909</v>
      </c>
      <c r="C20" s="35" t="s">
        <v>8</v>
      </c>
      <c r="D20" t="s">
        <v>31</v>
      </c>
      <c r="E20" s="1">
        <v>0.33333333333333298</v>
      </c>
      <c r="F20" s="2">
        <f>Table5[[#This Row],[Downtime Start]]+N20</f>
        <v>0.34611111111111076</v>
      </c>
      <c r="G20" s="5">
        <f t="shared" si="0"/>
        <v>1.2777777777777777E-2</v>
      </c>
      <c r="I20" t="s">
        <v>36</v>
      </c>
      <c r="J20" s="37">
        <v>6</v>
      </c>
      <c r="K20" s="34">
        <v>6</v>
      </c>
      <c r="M20" s="33">
        <v>46</v>
      </c>
      <c r="N20" s="36">
        <f t="shared" si="1"/>
        <v>1.2777777777777779E-2</v>
      </c>
      <c r="Q20" s="33">
        <v>2</v>
      </c>
      <c r="R20" t="str" cm="1">
        <f t="array" ref="R20">_xlfn.IFS(Q20=1,"Jarum patah",Q20=2,"Bundet bawah",Q20=3,"Bundet atas",Q20=4,"Benang putus",Q20=5,"Sensor lepas",Q20=6,"Mesin mati")</f>
        <v>Bundet bawah</v>
      </c>
      <c r="U20" s="34" t="str">
        <f t="shared" si="2"/>
        <v>BRDR6</v>
      </c>
    </row>
    <row r="21" spans="2:21" hidden="1" x14ac:dyDescent="0.35">
      <c r="B21" s="4">
        <v>45909</v>
      </c>
      <c r="C21" s="35" t="s">
        <v>9</v>
      </c>
      <c r="D21" t="s">
        <v>32</v>
      </c>
      <c r="E21" s="1">
        <v>0.33333333333333298</v>
      </c>
      <c r="F21" s="2">
        <f>Table5[[#This Row],[Downtime Start]]+N21</f>
        <v>0.35555555555555518</v>
      </c>
      <c r="G21" s="5">
        <f t="shared" si="0"/>
        <v>2.2222222222222199E-2</v>
      </c>
      <c r="I21" t="s">
        <v>36</v>
      </c>
      <c r="J21" s="37">
        <v>7</v>
      </c>
      <c r="K21" s="34">
        <v>7</v>
      </c>
      <c r="M21" s="33">
        <v>80</v>
      </c>
      <c r="N21" s="36">
        <f t="shared" si="1"/>
        <v>2.2222222222222223E-2</v>
      </c>
      <c r="Q21" s="33">
        <v>3</v>
      </c>
      <c r="R21" t="str" cm="1">
        <f t="array" ref="R21">_xlfn.IFS(Q21=1,"Jarum patah",Q21=2,"Bundet bawah",Q21=3,"Bundet atas",Q21=4,"Benang putus",Q21=5,"Sensor lepas",Q21=6,"Mesin mati")</f>
        <v>Bundet atas</v>
      </c>
      <c r="U21" s="34" t="str">
        <f t="shared" si="2"/>
        <v>BRDR7</v>
      </c>
    </row>
    <row r="22" spans="2:21" hidden="1" x14ac:dyDescent="0.35">
      <c r="B22" s="4">
        <v>45910</v>
      </c>
      <c r="C22" s="35" t="s">
        <v>9</v>
      </c>
      <c r="D22" t="s">
        <v>35</v>
      </c>
      <c r="E22" s="1">
        <v>0.33333333333333298</v>
      </c>
      <c r="F22" s="2">
        <f>Table5[[#This Row],[Downtime Start]]+N22</f>
        <v>0.36444444444444407</v>
      </c>
      <c r="G22" s="5">
        <f t="shared" si="0"/>
        <v>3.1111111111111089E-2</v>
      </c>
      <c r="I22" t="s">
        <v>36</v>
      </c>
      <c r="J22" s="37">
        <v>7</v>
      </c>
      <c r="K22" s="34">
        <v>7</v>
      </c>
      <c r="M22" s="33">
        <v>112</v>
      </c>
      <c r="N22" s="36">
        <f t="shared" si="1"/>
        <v>3.111111111111111E-2</v>
      </c>
      <c r="Q22" s="33">
        <v>6</v>
      </c>
      <c r="R22" t="str" cm="1">
        <f t="array" ref="R22">_xlfn.IFS(Q22=1,"Jarum patah",Q22=2,"Bundet bawah",Q22=3,"Bundet atas",Q22=4,"Benang putus",Q22=5,"Sensor lepas",Q22=6,"Mesin mati")</f>
        <v>Mesin mati</v>
      </c>
      <c r="U22" s="34" t="str">
        <f t="shared" si="2"/>
        <v>BRDR7</v>
      </c>
    </row>
    <row r="23" spans="2:21" hidden="1" x14ac:dyDescent="0.35">
      <c r="B23" s="4">
        <v>45911</v>
      </c>
      <c r="C23" s="35" t="s">
        <v>11</v>
      </c>
      <c r="D23" t="s">
        <v>33</v>
      </c>
      <c r="E23" s="1">
        <v>0.33333333333333298</v>
      </c>
      <c r="F23" s="2">
        <f>Table5[[#This Row],[Downtime Start]]+N23</f>
        <v>0.3402777777777774</v>
      </c>
      <c r="G23" s="5">
        <f t="shared" si="0"/>
        <v>6.9444444444444198E-3</v>
      </c>
      <c r="I23" t="s">
        <v>36</v>
      </c>
      <c r="J23" s="37">
        <v>9</v>
      </c>
      <c r="K23" s="34">
        <v>9</v>
      </c>
      <c r="M23" s="33">
        <v>25</v>
      </c>
      <c r="N23" s="36">
        <f t="shared" si="1"/>
        <v>6.9444444444444441E-3</v>
      </c>
      <c r="Q23" s="33">
        <v>3</v>
      </c>
      <c r="R23" t="str" cm="1">
        <f t="array" ref="R23">_xlfn.IFS(Q23=1,"Jarum patah",Q23=2,"Bundet bawah",Q23=3,"Bundet atas",Q23=4,"Benang putus",Q23=5,"Sensor lepas",Q23=6,"Mesin mati")</f>
        <v>Bundet atas</v>
      </c>
      <c r="U23" s="34" t="str">
        <f t="shared" si="2"/>
        <v>BRDR9</v>
      </c>
    </row>
    <row r="24" spans="2:21" hidden="1" x14ac:dyDescent="0.35">
      <c r="B24" s="4">
        <v>45911</v>
      </c>
      <c r="C24" s="35" t="s">
        <v>10</v>
      </c>
      <c r="D24" t="s">
        <v>32</v>
      </c>
      <c r="E24" s="1">
        <v>0.33333333333333298</v>
      </c>
      <c r="F24" s="2">
        <f>Table5[[#This Row],[Downtime Start]]+N24</f>
        <v>0.3369444444444441</v>
      </c>
      <c r="G24" s="5">
        <f t="shared" si="0"/>
        <v>3.6111111111111205E-3</v>
      </c>
      <c r="I24" t="s">
        <v>36</v>
      </c>
      <c r="J24" s="37">
        <v>8</v>
      </c>
      <c r="K24" s="34">
        <v>8</v>
      </c>
      <c r="M24" s="33">
        <v>13</v>
      </c>
      <c r="N24" s="36">
        <f t="shared" si="1"/>
        <v>3.6111111111111109E-3</v>
      </c>
      <c r="Q24" s="33">
        <v>2</v>
      </c>
      <c r="R24" t="str" cm="1">
        <f t="array" ref="R24">_xlfn.IFS(Q24=1,"Jarum patah",Q24=2,"Bundet bawah",Q24=3,"Bundet atas",Q24=4,"Benang putus",Q24=5,"Sensor lepas",Q24=6,"Mesin mati")</f>
        <v>Bundet bawah</v>
      </c>
      <c r="U24" s="34" t="str">
        <f t="shared" si="2"/>
        <v>BRDR8</v>
      </c>
    </row>
    <row r="25" spans="2:21" x14ac:dyDescent="0.35">
      <c r="B25" s="4">
        <v>45911</v>
      </c>
      <c r="C25" s="35" t="s">
        <v>3</v>
      </c>
      <c r="D25" t="s">
        <v>12</v>
      </c>
      <c r="E25" s="1">
        <v>0.33333333333333298</v>
      </c>
      <c r="F25" s="2">
        <f>Table5[[#This Row],[Downtime Start]]+N25</f>
        <v>0.35305555555555518</v>
      </c>
      <c r="G25" s="5">
        <f t="shared" si="0"/>
        <v>1.9722222222222197E-2</v>
      </c>
      <c r="I25" t="s">
        <v>36</v>
      </c>
      <c r="J25" s="37">
        <v>1</v>
      </c>
      <c r="K25" s="34">
        <v>1</v>
      </c>
      <c r="M25" s="33">
        <v>71</v>
      </c>
      <c r="N25" s="36">
        <f t="shared" si="1"/>
        <v>1.9722222222222221E-2</v>
      </c>
      <c r="Q25" s="33">
        <v>4</v>
      </c>
      <c r="R25" t="str" cm="1">
        <f t="array" ref="R25">_xlfn.IFS(Q25=1,"Jarum patah",Q25=2,"Bundet bawah",Q25=3,"Bundet atas",Q25=4,"Benang putus",Q25=5,"Sensor lepas",Q25=6,"Mesin mati")</f>
        <v>Benang putus</v>
      </c>
      <c r="U25" s="34" t="str">
        <f t="shared" si="2"/>
        <v>BRDR1</v>
      </c>
    </row>
    <row r="26" spans="2:21" hidden="1" x14ac:dyDescent="0.35">
      <c r="B26" s="4">
        <v>45912</v>
      </c>
      <c r="C26" s="35" t="s">
        <v>11</v>
      </c>
      <c r="D26" t="s">
        <v>32</v>
      </c>
      <c r="E26" s="1">
        <v>0.33333333333333298</v>
      </c>
      <c r="F26" s="2">
        <f>Table5[[#This Row],[Downtime Start]]+N26</f>
        <v>0.3369444444444441</v>
      </c>
      <c r="G26" s="5">
        <f t="shared" si="0"/>
        <v>3.6111111111111205E-3</v>
      </c>
      <c r="I26" t="s">
        <v>36</v>
      </c>
      <c r="J26" s="37">
        <v>9</v>
      </c>
      <c r="K26" s="34">
        <v>9</v>
      </c>
      <c r="M26" s="33">
        <v>13</v>
      </c>
      <c r="N26" s="36">
        <f t="shared" si="1"/>
        <v>3.6111111111111109E-3</v>
      </c>
      <c r="Q26" s="33">
        <v>3</v>
      </c>
      <c r="R26" t="str" cm="1">
        <f t="array" ref="R26">_xlfn.IFS(Q26=1,"Jarum patah",Q26=2,"Bundet bawah",Q26=3,"Bundet atas",Q26=4,"Benang putus",Q26=5,"Sensor lepas",Q26=6,"Mesin mati")</f>
        <v>Bundet atas</v>
      </c>
      <c r="U26" s="34" t="str">
        <f t="shared" si="2"/>
        <v>BRDR9</v>
      </c>
    </row>
    <row r="27" spans="2:21" hidden="1" x14ac:dyDescent="0.35">
      <c r="B27" s="4">
        <v>45912</v>
      </c>
      <c r="C27" s="35" t="s">
        <v>8</v>
      </c>
      <c r="D27" t="s">
        <v>31</v>
      </c>
      <c r="E27" s="1">
        <v>0.33333333333333298</v>
      </c>
      <c r="F27" s="2">
        <f>Table5[[#This Row],[Downtime Start]]+N27</f>
        <v>0.36999999999999966</v>
      </c>
      <c r="G27" s="5">
        <f t="shared" si="0"/>
        <v>3.6666666666666681E-2</v>
      </c>
      <c r="I27" t="s">
        <v>36</v>
      </c>
      <c r="J27" s="37">
        <v>6</v>
      </c>
      <c r="K27" s="34">
        <v>6</v>
      </c>
      <c r="M27" s="33">
        <v>132</v>
      </c>
      <c r="N27" s="36">
        <f t="shared" si="1"/>
        <v>3.6666666666666667E-2</v>
      </c>
      <c r="Q27" s="33">
        <v>1</v>
      </c>
      <c r="R27" t="str" cm="1">
        <f t="array" ref="R27">_xlfn.IFS(Q27=1,"Jarum patah",Q27=2,"Bundet bawah",Q27=3,"Bundet atas",Q27=4,"Benang putus",Q27=5,"Sensor lepas",Q27=6,"Mesin mati")</f>
        <v>Jarum patah</v>
      </c>
      <c r="U27" s="34" t="str">
        <f t="shared" si="2"/>
        <v>BRDR6</v>
      </c>
    </row>
    <row r="28" spans="2:21" hidden="1" x14ac:dyDescent="0.35">
      <c r="B28" s="4">
        <v>45913</v>
      </c>
      <c r="C28" s="35" t="s">
        <v>11</v>
      </c>
      <c r="D28" t="s">
        <v>35</v>
      </c>
      <c r="E28" s="1">
        <v>0.33333333333333298</v>
      </c>
      <c r="F28" s="2">
        <f>Table5[[#This Row],[Downtime Start]]+N28</f>
        <v>0.34722222222222188</v>
      </c>
      <c r="G28" s="5">
        <f t="shared" si="0"/>
        <v>1.3888888888888895E-2</v>
      </c>
      <c r="I28" t="s">
        <v>36</v>
      </c>
      <c r="J28" s="37">
        <v>9</v>
      </c>
      <c r="K28" s="34">
        <v>9</v>
      </c>
      <c r="M28" s="33">
        <v>50</v>
      </c>
      <c r="N28" s="36">
        <f t="shared" si="1"/>
        <v>1.3888888888888888E-2</v>
      </c>
      <c r="Q28" s="33">
        <v>3</v>
      </c>
      <c r="R28" t="str" cm="1">
        <f t="array" ref="R28">_xlfn.IFS(Q28=1,"Jarum patah",Q28=2,"Bundet bawah",Q28=3,"Bundet atas",Q28=4,"Benang putus",Q28=5,"Sensor lepas",Q28=6,"Mesin mati")</f>
        <v>Bundet atas</v>
      </c>
      <c r="U28" s="34" t="str">
        <f t="shared" si="2"/>
        <v>BRDR9</v>
      </c>
    </row>
    <row r="29" spans="2:21" x14ac:dyDescent="0.35">
      <c r="B29" s="4">
        <v>45913</v>
      </c>
      <c r="C29" s="35" t="s">
        <v>3</v>
      </c>
      <c r="D29" t="s">
        <v>32</v>
      </c>
      <c r="E29" s="1">
        <v>0.33333333333333298</v>
      </c>
      <c r="F29" s="2">
        <f>Table5[[#This Row],[Downtime Start]]+N29</f>
        <v>0.37416666666666631</v>
      </c>
      <c r="G29" s="5">
        <f t="shared" si="0"/>
        <v>4.0833333333333333E-2</v>
      </c>
      <c r="I29" t="s">
        <v>36</v>
      </c>
      <c r="J29" s="37">
        <v>1</v>
      </c>
      <c r="K29" s="34">
        <v>1</v>
      </c>
      <c r="M29" s="33">
        <v>147</v>
      </c>
      <c r="N29" s="36">
        <f t="shared" si="1"/>
        <v>4.0833333333333333E-2</v>
      </c>
      <c r="Q29" s="33">
        <v>6</v>
      </c>
      <c r="R29" t="str" cm="1">
        <f t="array" ref="R29">_xlfn.IFS(Q29=1,"Jarum patah",Q29=2,"Bundet bawah",Q29=3,"Bundet atas",Q29=4,"Benang putus",Q29=5,"Sensor lepas",Q29=6,"Mesin mati")</f>
        <v>Mesin mati</v>
      </c>
      <c r="U29" s="34" t="str">
        <f t="shared" si="2"/>
        <v>BRDR1</v>
      </c>
    </row>
    <row r="30" spans="2:21" hidden="1" x14ac:dyDescent="0.35">
      <c r="B30" s="4">
        <v>45913</v>
      </c>
      <c r="C30" s="35" t="s">
        <v>10</v>
      </c>
      <c r="D30" t="s">
        <v>31</v>
      </c>
      <c r="E30" s="1">
        <v>0.33333333333333298</v>
      </c>
      <c r="F30" s="2">
        <f>Table5[[#This Row],[Downtime Start]]+N30</f>
        <v>0.34333333333333299</v>
      </c>
      <c r="G30" s="5">
        <f t="shared" si="0"/>
        <v>1.0000000000000009E-2</v>
      </c>
      <c r="I30" t="s">
        <v>36</v>
      </c>
      <c r="J30" s="37">
        <v>8</v>
      </c>
      <c r="K30" s="34">
        <v>8</v>
      </c>
      <c r="M30" s="33">
        <v>36</v>
      </c>
      <c r="N30" s="36">
        <f t="shared" si="1"/>
        <v>0.01</v>
      </c>
      <c r="Q30" s="33">
        <v>2</v>
      </c>
      <c r="R30" t="str" cm="1">
        <f t="array" ref="R30">_xlfn.IFS(Q30=1,"Jarum patah",Q30=2,"Bundet bawah",Q30=3,"Bundet atas",Q30=4,"Benang putus",Q30=5,"Sensor lepas",Q30=6,"Mesin mati")</f>
        <v>Bundet bawah</v>
      </c>
      <c r="U30" s="34" t="str">
        <f t="shared" si="2"/>
        <v>BRDR8</v>
      </c>
    </row>
    <row r="31" spans="2:21" hidden="1" x14ac:dyDescent="0.35">
      <c r="B31" s="4">
        <v>45915</v>
      </c>
      <c r="C31" s="35" t="s">
        <v>7</v>
      </c>
      <c r="D31" t="s">
        <v>32</v>
      </c>
      <c r="E31" s="1">
        <v>0.33333333333333298</v>
      </c>
      <c r="F31" s="2">
        <f>Table5[[#This Row],[Downtime Start]]+N31</f>
        <v>0.33861111111111075</v>
      </c>
      <c r="G31" s="5">
        <f t="shared" si="0"/>
        <v>5.2777777777777701E-3</v>
      </c>
      <c r="I31" t="s">
        <v>36</v>
      </c>
      <c r="J31" s="37">
        <v>5</v>
      </c>
      <c r="K31" s="34">
        <v>5</v>
      </c>
      <c r="M31" s="33">
        <v>19</v>
      </c>
      <c r="N31" s="36">
        <f t="shared" si="1"/>
        <v>5.2777777777777779E-3</v>
      </c>
      <c r="Q31" s="33">
        <v>3</v>
      </c>
      <c r="R31" t="str" cm="1">
        <f t="array" ref="R31">_xlfn.IFS(Q31=1,"Jarum patah",Q31=2,"Bundet bawah",Q31=3,"Bundet atas",Q31=4,"Benang putus",Q31=5,"Sensor lepas",Q31=6,"Mesin mati")</f>
        <v>Bundet atas</v>
      </c>
      <c r="U31" s="34" t="str">
        <f t="shared" si="2"/>
        <v>BRDR5</v>
      </c>
    </row>
    <row r="32" spans="2:21" x14ac:dyDescent="0.35">
      <c r="B32" s="4">
        <v>45916</v>
      </c>
      <c r="C32" s="35" t="s">
        <v>3</v>
      </c>
      <c r="D32" t="s">
        <v>32</v>
      </c>
      <c r="E32" s="1">
        <v>0.33333333333333298</v>
      </c>
      <c r="F32" s="2">
        <f>Table5[[#This Row],[Downtime Start]]+N32</f>
        <v>0.34138888888888852</v>
      </c>
      <c r="G32" s="5">
        <f t="shared" si="0"/>
        <v>8.055555555555538E-3</v>
      </c>
      <c r="I32" t="s">
        <v>36</v>
      </c>
      <c r="J32" s="37">
        <v>1</v>
      </c>
      <c r="K32" s="34">
        <v>1</v>
      </c>
      <c r="M32" s="33">
        <v>29</v>
      </c>
      <c r="N32" s="36">
        <f t="shared" si="1"/>
        <v>8.0555555555555554E-3</v>
      </c>
      <c r="Q32" s="33">
        <v>6</v>
      </c>
      <c r="R32" t="str" cm="1">
        <f t="array" ref="R32">_xlfn.IFS(Q32=1,"Jarum patah",Q32=2,"Bundet bawah",Q32=3,"Bundet atas",Q32=4,"Benang putus",Q32=5,"Sensor lepas",Q32=6,"Mesin mati")</f>
        <v>Mesin mati</v>
      </c>
      <c r="U32" s="34" t="str">
        <f t="shared" si="2"/>
        <v>BRDR1</v>
      </c>
    </row>
    <row r="33" spans="2:21" hidden="1" x14ac:dyDescent="0.35">
      <c r="B33" s="4">
        <v>45916</v>
      </c>
      <c r="C33" s="35" t="s">
        <v>8</v>
      </c>
      <c r="D33" t="s">
        <v>31</v>
      </c>
      <c r="E33" s="1">
        <v>0.33333333333333298</v>
      </c>
      <c r="F33" s="2">
        <f>Table5[[#This Row],[Downtime Start]]+N33</f>
        <v>0.35222222222222188</v>
      </c>
      <c r="G33" s="5">
        <f t="shared" si="0"/>
        <v>1.8888888888888899E-2</v>
      </c>
      <c r="I33" t="s">
        <v>36</v>
      </c>
      <c r="J33" s="37">
        <v>6</v>
      </c>
      <c r="K33" s="34">
        <v>6</v>
      </c>
      <c r="M33" s="33">
        <v>68</v>
      </c>
      <c r="N33" s="36">
        <f t="shared" si="1"/>
        <v>1.8888888888888889E-2</v>
      </c>
      <c r="Q33" s="33">
        <v>3</v>
      </c>
      <c r="R33" t="str" cm="1">
        <f t="array" ref="R33">_xlfn.IFS(Q33=1,"Jarum patah",Q33=2,"Bundet bawah",Q33=3,"Bundet atas",Q33=4,"Benang putus",Q33=5,"Sensor lepas",Q33=6,"Mesin mati")</f>
        <v>Bundet atas</v>
      </c>
      <c r="U33" s="34" t="str">
        <f t="shared" si="2"/>
        <v>BRDR6</v>
      </c>
    </row>
    <row r="34" spans="2:21" hidden="1" x14ac:dyDescent="0.35">
      <c r="B34" s="4">
        <v>45917</v>
      </c>
      <c r="C34" s="35" t="s">
        <v>11</v>
      </c>
      <c r="D34" t="s">
        <v>31</v>
      </c>
      <c r="E34" s="1">
        <v>0.33333333333333298</v>
      </c>
      <c r="F34" s="2">
        <f>Table5[[#This Row],[Downtime Start]]+N34</f>
        <v>0.3616666666666663</v>
      </c>
      <c r="G34" s="5">
        <f t="shared" si="0"/>
        <v>2.8333333333333321E-2</v>
      </c>
      <c r="I34" t="s">
        <v>36</v>
      </c>
      <c r="J34" s="37">
        <v>9</v>
      </c>
      <c r="K34" s="34">
        <v>9</v>
      </c>
      <c r="M34" s="33">
        <v>102</v>
      </c>
      <c r="N34" s="36">
        <f t="shared" si="1"/>
        <v>2.8333333333333332E-2</v>
      </c>
      <c r="Q34" s="33">
        <v>3</v>
      </c>
      <c r="R34" t="str" cm="1">
        <f t="array" ref="R34">_xlfn.IFS(Q34=1,"Jarum patah",Q34=2,"Bundet bawah",Q34=3,"Bundet atas",Q34=4,"Benang putus",Q34=5,"Sensor lepas",Q34=6,"Mesin mati")</f>
        <v>Bundet atas</v>
      </c>
      <c r="U34" s="34" t="str">
        <f t="shared" si="2"/>
        <v>BRDR9</v>
      </c>
    </row>
    <row r="35" spans="2:21" hidden="1" x14ac:dyDescent="0.35">
      <c r="B35" s="4">
        <v>45917</v>
      </c>
      <c r="C35" s="35" t="s">
        <v>10</v>
      </c>
      <c r="D35" t="s">
        <v>35</v>
      </c>
      <c r="E35" s="1">
        <v>0.33333333333333298</v>
      </c>
      <c r="F35" s="2">
        <f>Table5[[#This Row],[Downtime Start]]+N35</f>
        <v>0.34638888888888852</v>
      </c>
      <c r="G35" s="5">
        <f t="shared" si="0"/>
        <v>1.3055555555555542E-2</v>
      </c>
      <c r="I35" t="s">
        <v>36</v>
      </c>
      <c r="J35" s="37">
        <v>8</v>
      </c>
      <c r="K35" s="34">
        <v>8</v>
      </c>
      <c r="M35" s="33">
        <v>47</v>
      </c>
      <c r="N35" s="36">
        <f t="shared" si="1"/>
        <v>1.3055555555555556E-2</v>
      </c>
      <c r="Q35" s="33">
        <v>6</v>
      </c>
      <c r="R35" t="str" cm="1">
        <f t="array" ref="R35">_xlfn.IFS(Q35=1,"Jarum patah",Q35=2,"Bundet bawah",Q35=3,"Bundet atas",Q35=4,"Benang putus",Q35=5,"Sensor lepas",Q35=6,"Mesin mati")</f>
        <v>Mesin mati</v>
      </c>
      <c r="U35" s="34" t="str">
        <f t="shared" si="2"/>
        <v>BRDR8</v>
      </c>
    </row>
    <row r="36" spans="2:21" hidden="1" x14ac:dyDescent="0.35">
      <c r="B36" s="4">
        <v>45917</v>
      </c>
      <c r="C36" s="35" t="s">
        <v>4</v>
      </c>
      <c r="D36" t="s">
        <v>32</v>
      </c>
      <c r="E36" s="1">
        <v>0.33333333333333298</v>
      </c>
      <c r="F36" s="2">
        <f>Table5[[#This Row],[Downtime Start]]+N36</f>
        <v>0.36888888888888854</v>
      </c>
      <c r="G36" s="5">
        <f t="shared" si="0"/>
        <v>3.5555555555555562E-2</v>
      </c>
      <c r="I36" t="s">
        <v>36</v>
      </c>
      <c r="J36" s="37">
        <v>2</v>
      </c>
      <c r="K36" s="34">
        <v>2</v>
      </c>
      <c r="M36" s="33">
        <v>128</v>
      </c>
      <c r="N36" s="36">
        <f t="shared" si="1"/>
        <v>3.5555555555555556E-2</v>
      </c>
      <c r="Q36" s="33">
        <v>6</v>
      </c>
      <c r="R36" t="str" cm="1">
        <f t="array" ref="R36">_xlfn.IFS(Q36=1,"Jarum patah",Q36=2,"Bundet bawah",Q36=3,"Bundet atas",Q36=4,"Benang putus",Q36=5,"Sensor lepas",Q36=6,"Mesin mati")</f>
        <v>Mesin mati</v>
      </c>
      <c r="U36" s="34" t="str">
        <f t="shared" si="2"/>
        <v>BRDR2</v>
      </c>
    </row>
    <row r="37" spans="2:21" hidden="1" x14ac:dyDescent="0.35">
      <c r="B37" s="4">
        <v>45917</v>
      </c>
      <c r="C37" s="35" t="s">
        <v>6</v>
      </c>
      <c r="D37" t="s">
        <v>34</v>
      </c>
      <c r="E37" s="1">
        <v>0.33333333333333298</v>
      </c>
      <c r="F37" s="2">
        <f>Table5[[#This Row],[Downtime Start]]+N37</f>
        <v>0.35722222222222189</v>
      </c>
      <c r="G37" s="5">
        <f t="shared" si="0"/>
        <v>2.3888888888888904E-2</v>
      </c>
      <c r="I37" t="s">
        <v>36</v>
      </c>
      <c r="J37" s="37">
        <v>4</v>
      </c>
      <c r="K37" s="34">
        <v>4</v>
      </c>
      <c r="M37" s="33">
        <v>86</v>
      </c>
      <c r="N37" s="36">
        <f t="shared" si="1"/>
        <v>2.388888888888889E-2</v>
      </c>
      <c r="Q37" s="33">
        <v>2</v>
      </c>
      <c r="R37" t="str" cm="1">
        <f t="array" ref="R37">_xlfn.IFS(Q37=1,"Jarum patah",Q37=2,"Bundet bawah",Q37=3,"Bundet atas",Q37=4,"Benang putus",Q37=5,"Sensor lepas",Q37=6,"Mesin mati")</f>
        <v>Bundet bawah</v>
      </c>
      <c r="U37" s="34" t="str">
        <f t="shared" si="2"/>
        <v>BRDR4</v>
      </c>
    </row>
    <row r="38" spans="2:21" hidden="1" x14ac:dyDescent="0.35">
      <c r="B38" s="4">
        <v>45918</v>
      </c>
      <c r="C38" s="35" t="s">
        <v>5</v>
      </c>
      <c r="D38" t="s">
        <v>35</v>
      </c>
      <c r="E38" s="1">
        <v>0.33333333333333298</v>
      </c>
      <c r="F38" s="2">
        <f>Table5[[#This Row],[Downtime Start]]+N38</f>
        <v>0.33666666666666634</v>
      </c>
      <c r="G38" s="5">
        <f t="shared" si="0"/>
        <v>3.3333333333333548E-3</v>
      </c>
      <c r="I38" t="s">
        <v>36</v>
      </c>
      <c r="J38" s="37">
        <v>3</v>
      </c>
      <c r="K38" s="34">
        <v>3</v>
      </c>
      <c r="M38" s="33">
        <v>12</v>
      </c>
      <c r="N38" s="36">
        <f t="shared" si="1"/>
        <v>3.3333333333333335E-3</v>
      </c>
      <c r="Q38" s="33">
        <v>3</v>
      </c>
      <c r="R38" t="str" cm="1">
        <f t="array" ref="R38">_xlfn.IFS(Q38=1,"Jarum patah",Q38=2,"Bundet bawah",Q38=3,"Bundet atas",Q38=4,"Benang putus",Q38=5,"Sensor lepas",Q38=6,"Mesin mati")</f>
        <v>Bundet atas</v>
      </c>
      <c r="U38" s="34" t="str">
        <f t="shared" si="2"/>
        <v>BRDR3</v>
      </c>
    </row>
  </sheetData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BC5C1CB-C749-4046-A0D2-4DEE7453DDB9}">
          <x14:formula1>
            <xm:f>Refference!$A$2:$A$11</xm:f>
          </x14:formula1>
          <xm:sqref>D39:D1048576</xm:sqref>
        </x14:dataValidation>
        <x14:dataValidation type="list" allowBlank="1" showInputMessage="1" showErrorMessage="1" xr:uid="{9A035EFB-A72E-4997-8219-A8926BF8E3AC}">
          <x14:formula1>
            <xm:f>Refference!$B$2:$B$11</xm:f>
          </x14:formula1>
          <xm:sqref>C2:C3 C39:C1048576</xm:sqref>
        </x14:dataValidation>
        <x14:dataValidation type="list" allowBlank="1" showInputMessage="1" showErrorMessage="1" xr:uid="{AA69F121-76C5-46D0-8ABF-5C4FD1E4486C}">
          <x14:formula1>
            <xm:f>Refference!$B$2:$B$10</xm:f>
          </x14:formula1>
          <xm:sqref>C4:C38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AA96-D2D1-4903-9522-FA15B61D3C9F}">
  <dimension ref="A1:B10"/>
  <sheetViews>
    <sheetView workbookViewId="0">
      <selection activeCell="C5" sqref="C5"/>
    </sheetView>
  </sheetViews>
  <sheetFormatPr defaultRowHeight="14.5" x14ac:dyDescent="0.35"/>
  <cols>
    <col min="1" max="1" width="13" bestFit="1" customWidth="1"/>
    <col min="2" max="2" width="19.81640625" bestFit="1" customWidth="1"/>
  </cols>
  <sheetData>
    <row r="1" spans="1:2" x14ac:dyDescent="0.35">
      <c r="A1" s="13" t="s">
        <v>25</v>
      </c>
      <c r="B1" s="13" t="s">
        <v>37</v>
      </c>
    </row>
    <row r="2" spans="1:2" x14ac:dyDescent="0.35">
      <c r="A2" t="s">
        <v>12</v>
      </c>
      <c r="B2" t="s">
        <v>3</v>
      </c>
    </row>
    <row r="3" spans="1:2" x14ac:dyDescent="0.35">
      <c r="A3" t="s">
        <v>27</v>
      </c>
      <c r="B3" t="s">
        <v>4</v>
      </c>
    </row>
    <row r="4" spans="1:2" x14ac:dyDescent="0.35">
      <c r="A4" t="s">
        <v>28</v>
      </c>
      <c r="B4" t="s">
        <v>5</v>
      </c>
    </row>
    <row r="5" spans="1:2" x14ac:dyDescent="0.35">
      <c r="A5" t="s">
        <v>29</v>
      </c>
      <c r="B5" t="s">
        <v>6</v>
      </c>
    </row>
    <row r="6" spans="1:2" x14ac:dyDescent="0.35">
      <c r="A6" t="s">
        <v>30</v>
      </c>
      <c r="B6" t="s">
        <v>7</v>
      </c>
    </row>
    <row r="7" spans="1:2" x14ac:dyDescent="0.35">
      <c r="A7" t="s">
        <v>31</v>
      </c>
      <c r="B7" t="s">
        <v>8</v>
      </c>
    </row>
    <row r="8" spans="1:2" x14ac:dyDescent="0.35">
      <c r="B8" t="s">
        <v>9</v>
      </c>
    </row>
    <row r="9" spans="1:2" x14ac:dyDescent="0.35">
      <c r="B9" t="s">
        <v>10</v>
      </c>
    </row>
    <row r="10" spans="1:2" x14ac:dyDescent="0.35">
      <c r="B10" t="s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Calculation</vt:lpstr>
      <vt:lpstr>MachinePerformance Accumulation</vt:lpstr>
      <vt:lpstr>Daily Performance Monitoring </vt:lpstr>
      <vt:lpstr> Downtime Monitoring</vt:lpstr>
      <vt:lpstr>Refference</vt:lpstr>
      <vt:lpstr>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2025-08-14T05:06:12Z</dcterms:created>
  <dcterms:modified xsi:type="dcterms:W3CDTF">2025-12-17T11:22:45Z</dcterms:modified>
</cp:coreProperties>
</file>